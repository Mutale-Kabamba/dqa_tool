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ukuk\Downloads\"/>
    </mc:Choice>
  </mc:AlternateContent>
  <xr:revisionPtr revIDLastSave="0" documentId="8_{223571FB-1567-4DDD-8CC7-2A7EAEC3278E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Dashboard" sheetId="1" r:id="rId1"/>
    <sheet name="Data Entry" sheetId="2" r:id="rId2"/>
    <sheet name="Legend" sheetId="3" r:id="rId3"/>
    <sheet name="Instructions" sheetId="4" r:id="rId4"/>
  </sheets>
  <calcPr calcId="191029"/>
</workbook>
</file>

<file path=xl/calcChain.xml><?xml version="1.0" encoding="utf-8"?>
<calcChain xmlns="http://schemas.openxmlformats.org/spreadsheetml/2006/main">
  <c r="Y200" i="2" l="1"/>
  <c r="X200" i="2"/>
  <c r="W200" i="2"/>
  <c r="V200" i="2"/>
  <c r="U200" i="2"/>
  <c r="R200" i="2"/>
  <c r="O200" i="2"/>
  <c r="L200" i="2"/>
  <c r="I200" i="2"/>
  <c r="A200" i="2"/>
  <c r="Y199" i="2"/>
  <c r="X199" i="2"/>
  <c r="W199" i="2"/>
  <c r="V199" i="2"/>
  <c r="U199" i="2"/>
  <c r="R199" i="2"/>
  <c r="O199" i="2"/>
  <c r="L199" i="2"/>
  <c r="I199" i="2"/>
  <c r="A199" i="2"/>
  <c r="Y198" i="2"/>
  <c r="X198" i="2"/>
  <c r="W198" i="2"/>
  <c r="V198" i="2"/>
  <c r="U198" i="2"/>
  <c r="R198" i="2"/>
  <c r="O198" i="2"/>
  <c r="L198" i="2"/>
  <c r="I198" i="2"/>
  <c r="A198" i="2"/>
  <c r="Y197" i="2"/>
  <c r="X197" i="2"/>
  <c r="W197" i="2"/>
  <c r="V197" i="2"/>
  <c r="U197" i="2"/>
  <c r="R197" i="2"/>
  <c r="O197" i="2"/>
  <c r="L197" i="2"/>
  <c r="I197" i="2"/>
  <c r="A197" i="2"/>
  <c r="Y196" i="2"/>
  <c r="X196" i="2"/>
  <c r="W196" i="2"/>
  <c r="V196" i="2"/>
  <c r="U196" i="2"/>
  <c r="R196" i="2"/>
  <c r="O196" i="2"/>
  <c r="L196" i="2"/>
  <c r="I196" i="2"/>
  <c r="A196" i="2"/>
  <c r="Y195" i="2"/>
  <c r="X195" i="2"/>
  <c r="W195" i="2"/>
  <c r="V195" i="2"/>
  <c r="U195" i="2"/>
  <c r="R195" i="2"/>
  <c r="O195" i="2"/>
  <c r="L195" i="2"/>
  <c r="I195" i="2"/>
  <c r="A195" i="2"/>
  <c r="Y194" i="2"/>
  <c r="X194" i="2"/>
  <c r="W194" i="2"/>
  <c r="V194" i="2"/>
  <c r="U194" i="2"/>
  <c r="R194" i="2"/>
  <c r="O194" i="2"/>
  <c r="L194" i="2"/>
  <c r="I194" i="2"/>
  <c r="A194" i="2"/>
  <c r="Y193" i="2"/>
  <c r="X193" i="2"/>
  <c r="W193" i="2"/>
  <c r="V193" i="2"/>
  <c r="U193" i="2"/>
  <c r="R193" i="2"/>
  <c r="O193" i="2"/>
  <c r="L193" i="2"/>
  <c r="I193" i="2"/>
  <c r="A193" i="2"/>
  <c r="Y192" i="2"/>
  <c r="X192" i="2"/>
  <c r="W192" i="2"/>
  <c r="V192" i="2"/>
  <c r="U192" i="2"/>
  <c r="R192" i="2"/>
  <c r="O192" i="2"/>
  <c r="L192" i="2"/>
  <c r="I192" i="2"/>
  <c r="A192" i="2"/>
  <c r="Y191" i="2"/>
  <c r="X191" i="2"/>
  <c r="W191" i="2"/>
  <c r="V191" i="2"/>
  <c r="U191" i="2"/>
  <c r="R191" i="2"/>
  <c r="O191" i="2"/>
  <c r="L191" i="2"/>
  <c r="I191" i="2"/>
  <c r="A191" i="2"/>
  <c r="Y190" i="2"/>
  <c r="X190" i="2"/>
  <c r="W190" i="2"/>
  <c r="V190" i="2"/>
  <c r="U190" i="2"/>
  <c r="R190" i="2"/>
  <c r="O190" i="2"/>
  <c r="L190" i="2"/>
  <c r="I190" i="2"/>
  <c r="A190" i="2"/>
  <c r="Y189" i="2"/>
  <c r="X189" i="2"/>
  <c r="W189" i="2"/>
  <c r="V189" i="2"/>
  <c r="U189" i="2"/>
  <c r="R189" i="2"/>
  <c r="O189" i="2"/>
  <c r="L189" i="2"/>
  <c r="I189" i="2"/>
  <c r="A189" i="2"/>
  <c r="Y188" i="2"/>
  <c r="X188" i="2"/>
  <c r="W188" i="2"/>
  <c r="V188" i="2"/>
  <c r="U188" i="2"/>
  <c r="R188" i="2"/>
  <c r="O188" i="2"/>
  <c r="L188" i="2"/>
  <c r="I188" i="2"/>
  <c r="A188" i="2"/>
  <c r="Y187" i="2"/>
  <c r="X187" i="2"/>
  <c r="W187" i="2"/>
  <c r="V187" i="2"/>
  <c r="U187" i="2"/>
  <c r="R187" i="2"/>
  <c r="O187" i="2"/>
  <c r="L187" i="2"/>
  <c r="I187" i="2"/>
  <c r="A187" i="2"/>
  <c r="Y186" i="2"/>
  <c r="X186" i="2"/>
  <c r="W186" i="2"/>
  <c r="V186" i="2"/>
  <c r="U186" i="2"/>
  <c r="R186" i="2"/>
  <c r="O186" i="2"/>
  <c r="L186" i="2"/>
  <c r="I186" i="2"/>
  <c r="A186" i="2"/>
  <c r="Y185" i="2"/>
  <c r="X185" i="2"/>
  <c r="W185" i="2"/>
  <c r="V185" i="2"/>
  <c r="U185" i="2"/>
  <c r="R185" i="2"/>
  <c r="O185" i="2"/>
  <c r="L185" i="2"/>
  <c r="I185" i="2"/>
  <c r="A185" i="2"/>
  <c r="Y184" i="2"/>
  <c r="X184" i="2"/>
  <c r="W184" i="2"/>
  <c r="V184" i="2"/>
  <c r="U184" i="2"/>
  <c r="R184" i="2"/>
  <c r="O184" i="2"/>
  <c r="L184" i="2"/>
  <c r="I184" i="2"/>
  <c r="A184" i="2"/>
  <c r="Y183" i="2"/>
  <c r="X183" i="2"/>
  <c r="W183" i="2"/>
  <c r="V183" i="2"/>
  <c r="U183" i="2"/>
  <c r="R183" i="2"/>
  <c r="O183" i="2"/>
  <c r="L183" i="2"/>
  <c r="I183" i="2"/>
  <c r="A183" i="2"/>
  <c r="Y182" i="2"/>
  <c r="X182" i="2"/>
  <c r="W182" i="2"/>
  <c r="V182" i="2"/>
  <c r="U182" i="2"/>
  <c r="R182" i="2"/>
  <c r="O182" i="2"/>
  <c r="L182" i="2"/>
  <c r="I182" i="2"/>
  <c r="A182" i="2"/>
  <c r="Y181" i="2"/>
  <c r="X181" i="2"/>
  <c r="W181" i="2"/>
  <c r="V181" i="2"/>
  <c r="U181" i="2"/>
  <c r="R181" i="2"/>
  <c r="O181" i="2"/>
  <c r="L181" i="2"/>
  <c r="I181" i="2"/>
  <c r="A181" i="2"/>
  <c r="Y180" i="2"/>
  <c r="X180" i="2"/>
  <c r="W180" i="2"/>
  <c r="V180" i="2"/>
  <c r="U180" i="2"/>
  <c r="R180" i="2"/>
  <c r="O180" i="2"/>
  <c r="L180" i="2"/>
  <c r="I180" i="2"/>
  <c r="A180" i="2"/>
  <c r="Y179" i="2"/>
  <c r="X179" i="2"/>
  <c r="W179" i="2"/>
  <c r="V179" i="2"/>
  <c r="U179" i="2"/>
  <c r="R179" i="2"/>
  <c r="O179" i="2"/>
  <c r="L179" i="2"/>
  <c r="I179" i="2"/>
  <c r="A179" i="2"/>
  <c r="Y178" i="2"/>
  <c r="X178" i="2"/>
  <c r="W178" i="2"/>
  <c r="V178" i="2"/>
  <c r="U178" i="2"/>
  <c r="R178" i="2"/>
  <c r="O178" i="2"/>
  <c r="L178" i="2"/>
  <c r="I178" i="2"/>
  <c r="A178" i="2"/>
  <c r="Y177" i="2"/>
  <c r="X177" i="2"/>
  <c r="W177" i="2"/>
  <c r="V177" i="2"/>
  <c r="U177" i="2"/>
  <c r="R177" i="2"/>
  <c r="O177" i="2"/>
  <c r="L177" i="2"/>
  <c r="I177" i="2"/>
  <c r="A177" i="2"/>
  <c r="Y176" i="2"/>
  <c r="X176" i="2"/>
  <c r="W176" i="2"/>
  <c r="V176" i="2"/>
  <c r="U176" i="2"/>
  <c r="R176" i="2"/>
  <c r="O176" i="2"/>
  <c r="L176" i="2"/>
  <c r="I176" i="2"/>
  <c r="A176" i="2"/>
  <c r="Y175" i="2"/>
  <c r="X175" i="2"/>
  <c r="W175" i="2"/>
  <c r="V175" i="2"/>
  <c r="U175" i="2"/>
  <c r="R175" i="2"/>
  <c r="O175" i="2"/>
  <c r="L175" i="2"/>
  <c r="I175" i="2"/>
  <c r="A175" i="2"/>
  <c r="Y174" i="2"/>
  <c r="X174" i="2"/>
  <c r="W174" i="2"/>
  <c r="V174" i="2"/>
  <c r="U174" i="2"/>
  <c r="R174" i="2"/>
  <c r="O174" i="2"/>
  <c r="L174" i="2"/>
  <c r="I174" i="2"/>
  <c r="A174" i="2"/>
  <c r="Y173" i="2"/>
  <c r="X173" i="2"/>
  <c r="W173" i="2"/>
  <c r="V173" i="2"/>
  <c r="U173" i="2"/>
  <c r="R173" i="2"/>
  <c r="O173" i="2"/>
  <c r="L173" i="2"/>
  <c r="I173" i="2"/>
  <c r="A173" i="2"/>
  <c r="Y172" i="2"/>
  <c r="X172" i="2"/>
  <c r="W172" i="2"/>
  <c r="V172" i="2"/>
  <c r="U172" i="2"/>
  <c r="R172" i="2"/>
  <c r="O172" i="2"/>
  <c r="L172" i="2"/>
  <c r="I172" i="2"/>
  <c r="A172" i="2"/>
  <c r="Y171" i="2"/>
  <c r="X171" i="2"/>
  <c r="W171" i="2"/>
  <c r="V171" i="2"/>
  <c r="U171" i="2"/>
  <c r="R171" i="2"/>
  <c r="O171" i="2"/>
  <c r="L171" i="2"/>
  <c r="I171" i="2"/>
  <c r="A171" i="2"/>
  <c r="Y170" i="2"/>
  <c r="X170" i="2"/>
  <c r="W170" i="2"/>
  <c r="V170" i="2"/>
  <c r="U170" i="2"/>
  <c r="R170" i="2"/>
  <c r="O170" i="2"/>
  <c r="L170" i="2"/>
  <c r="I170" i="2"/>
  <c r="A170" i="2"/>
  <c r="Y169" i="2"/>
  <c r="X169" i="2"/>
  <c r="W169" i="2"/>
  <c r="V169" i="2"/>
  <c r="U169" i="2"/>
  <c r="R169" i="2"/>
  <c r="O169" i="2"/>
  <c r="L169" i="2"/>
  <c r="I169" i="2"/>
  <c r="A169" i="2"/>
  <c r="Y168" i="2"/>
  <c r="X168" i="2"/>
  <c r="W168" i="2"/>
  <c r="V168" i="2"/>
  <c r="U168" i="2"/>
  <c r="R168" i="2"/>
  <c r="O168" i="2"/>
  <c r="L168" i="2"/>
  <c r="I168" i="2"/>
  <c r="A168" i="2"/>
  <c r="Y167" i="2"/>
  <c r="X167" i="2"/>
  <c r="W167" i="2"/>
  <c r="V167" i="2"/>
  <c r="U167" i="2"/>
  <c r="R167" i="2"/>
  <c r="O167" i="2"/>
  <c r="L167" i="2"/>
  <c r="I167" i="2"/>
  <c r="A167" i="2"/>
  <c r="Y166" i="2"/>
  <c r="X166" i="2"/>
  <c r="W166" i="2"/>
  <c r="V166" i="2"/>
  <c r="U166" i="2"/>
  <c r="R166" i="2"/>
  <c r="O166" i="2"/>
  <c r="L166" i="2"/>
  <c r="I166" i="2"/>
  <c r="A166" i="2"/>
  <c r="Y165" i="2"/>
  <c r="X165" i="2"/>
  <c r="W165" i="2"/>
  <c r="V165" i="2"/>
  <c r="U165" i="2"/>
  <c r="R165" i="2"/>
  <c r="O165" i="2"/>
  <c r="L165" i="2"/>
  <c r="I165" i="2"/>
  <c r="A165" i="2"/>
  <c r="Y164" i="2"/>
  <c r="X164" i="2"/>
  <c r="W164" i="2"/>
  <c r="V164" i="2"/>
  <c r="U164" i="2"/>
  <c r="R164" i="2"/>
  <c r="O164" i="2"/>
  <c r="L164" i="2"/>
  <c r="I164" i="2"/>
  <c r="A164" i="2"/>
  <c r="Y163" i="2"/>
  <c r="X163" i="2"/>
  <c r="W163" i="2"/>
  <c r="V163" i="2"/>
  <c r="U163" i="2"/>
  <c r="R163" i="2"/>
  <c r="O163" i="2"/>
  <c r="L163" i="2"/>
  <c r="I163" i="2"/>
  <c r="A163" i="2"/>
  <c r="Y162" i="2"/>
  <c r="X162" i="2"/>
  <c r="W162" i="2"/>
  <c r="V162" i="2"/>
  <c r="U162" i="2"/>
  <c r="R162" i="2"/>
  <c r="O162" i="2"/>
  <c r="L162" i="2"/>
  <c r="I162" i="2"/>
  <c r="A162" i="2"/>
  <c r="Y161" i="2"/>
  <c r="X161" i="2"/>
  <c r="W161" i="2"/>
  <c r="V161" i="2"/>
  <c r="U161" i="2"/>
  <c r="R161" i="2"/>
  <c r="O161" i="2"/>
  <c r="L161" i="2"/>
  <c r="I161" i="2"/>
  <c r="A161" i="2"/>
  <c r="Y160" i="2"/>
  <c r="X160" i="2"/>
  <c r="W160" i="2"/>
  <c r="V160" i="2"/>
  <c r="U160" i="2"/>
  <c r="R160" i="2"/>
  <c r="O160" i="2"/>
  <c r="L160" i="2"/>
  <c r="I160" i="2"/>
  <c r="A160" i="2"/>
  <c r="Y159" i="2"/>
  <c r="X159" i="2"/>
  <c r="W159" i="2"/>
  <c r="V159" i="2"/>
  <c r="U159" i="2"/>
  <c r="R159" i="2"/>
  <c r="O159" i="2"/>
  <c r="L159" i="2"/>
  <c r="I159" i="2"/>
  <c r="A159" i="2"/>
  <c r="Y158" i="2"/>
  <c r="X158" i="2"/>
  <c r="W158" i="2"/>
  <c r="V158" i="2"/>
  <c r="U158" i="2"/>
  <c r="R158" i="2"/>
  <c r="O158" i="2"/>
  <c r="L158" i="2"/>
  <c r="I158" i="2"/>
  <c r="A158" i="2"/>
  <c r="Y157" i="2"/>
  <c r="X157" i="2"/>
  <c r="W157" i="2"/>
  <c r="V157" i="2"/>
  <c r="U157" i="2"/>
  <c r="R157" i="2"/>
  <c r="O157" i="2"/>
  <c r="L157" i="2"/>
  <c r="I157" i="2"/>
  <c r="A157" i="2"/>
  <c r="Y156" i="2"/>
  <c r="X156" i="2"/>
  <c r="W156" i="2"/>
  <c r="V156" i="2"/>
  <c r="U156" i="2"/>
  <c r="R156" i="2"/>
  <c r="O156" i="2"/>
  <c r="L156" i="2"/>
  <c r="I156" i="2"/>
  <c r="A156" i="2"/>
  <c r="Y155" i="2"/>
  <c r="X155" i="2"/>
  <c r="W155" i="2"/>
  <c r="V155" i="2"/>
  <c r="U155" i="2"/>
  <c r="R155" i="2"/>
  <c r="O155" i="2"/>
  <c r="L155" i="2"/>
  <c r="I155" i="2"/>
  <c r="A155" i="2"/>
  <c r="Y154" i="2"/>
  <c r="X154" i="2"/>
  <c r="W154" i="2"/>
  <c r="V154" i="2"/>
  <c r="U154" i="2"/>
  <c r="R154" i="2"/>
  <c r="O154" i="2"/>
  <c r="L154" i="2"/>
  <c r="I154" i="2"/>
  <c r="A154" i="2"/>
  <c r="Y153" i="2"/>
  <c r="X153" i="2"/>
  <c r="W153" i="2"/>
  <c r="V153" i="2"/>
  <c r="U153" i="2"/>
  <c r="R153" i="2"/>
  <c r="O153" i="2"/>
  <c r="L153" i="2"/>
  <c r="I153" i="2"/>
  <c r="A153" i="2"/>
  <c r="Y152" i="2"/>
  <c r="X152" i="2"/>
  <c r="W152" i="2"/>
  <c r="V152" i="2"/>
  <c r="U152" i="2"/>
  <c r="R152" i="2"/>
  <c r="O152" i="2"/>
  <c r="L152" i="2"/>
  <c r="I152" i="2"/>
  <c r="A152" i="2"/>
  <c r="Y151" i="2"/>
  <c r="X151" i="2"/>
  <c r="W151" i="2"/>
  <c r="V151" i="2"/>
  <c r="U151" i="2"/>
  <c r="R151" i="2"/>
  <c r="O151" i="2"/>
  <c r="L151" i="2"/>
  <c r="I151" i="2"/>
  <c r="A151" i="2"/>
  <c r="Y150" i="2"/>
  <c r="X150" i="2"/>
  <c r="W150" i="2"/>
  <c r="V150" i="2"/>
  <c r="U150" i="2"/>
  <c r="R150" i="2"/>
  <c r="O150" i="2"/>
  <c r="L150" i="2"/>
  <c r="I150" i="2"/>
  <c r="A150" i="2"/>
  <c r="Y149" i="2"/>
  <c r="X149" i="2"/>
  <c r="W149" i="2"/>
  <c r="V149" i="2"/>
  <c r="U149" i="2"/>
  <c r="R149" i="2"/>
  <c r="O149" i="2"/>
  <c r="L149" i="2"/>
  <c r="I149" i="2"/>
  <c r="A149" i="2"/>
  <c r="Y148" i="2"/>
  <c r="X148" i="2"/>
  <c r="W148" i="2"/>
  <c r="V148" i="2"/>
  <c r="U148" i="2"/>
  <c r="R148" i="2"/>
  <c r="O148" i="2"/>
  <c r="L148" i="2"/>
  <c r="I148" i="2"/>
  <c r="A148" i="2"/>
  <c r="Y147" i="2"/>
  <c r="X147" i="2"/>
  <c r="W147" i="2"/>
  <c r="V147" i="2"/>
  <c r="U147" i="2"/>
  <c r="R147" i="2"/>
  <c r="O147" i="2"/>
  <c r="L147" i="2"/>
  <c r="I147" i="2"/>
  <c r="A147" i="2"/>
  <c r="Y146" i="2"/>
  <c r="X146" i="2"/>
  <c r="W146" i="2"/>
  <c r="V146" i="2"/>
  <c r="U146" i="2"/>
  <c r="R146" i="2"/>
  <c r="O146" i="2"/>
  <c r="L146" i="2"/>
  <c r="I146" i="2"/>
  <c r="A146" i="2"/>
  <c r="Y145" i="2"/>
  <c r="X145" i="2"/>
  <c r="W145" i="2"/>
  <c r="V145" i="2"/>
  <c r="U145" i="2"/>
  <c r="R145" i="2"/>
  <c r="O145" i="2"/>
  <c r="L145" i="2"/>
  <c r="I145" i="2"/>
  <c r="A145" i="2"/>
  <c r="Y144" i="2"/>
  <c r="X144" i="2"/>
  <c r="W144" i="2"/>
  <c r="V144" i="2"/>
  <c r="U144" i="2"/>
  <c r="R144" i="2"/>
  <c r="O144" i="2"/>
  <c r="L144" i="2"/>
  <c r="I144" i="2"/>
  <c r="A144" i="2"/>
  <c r="Y143" i="2"/>
  <c r="X143" i="2"/>
  <c r="W143" i="2"/>
  <c r="V143" i="2"/>
  <c r="U143" i="2"/>
  <c r="R143" i="2"/>
  <c r="O143" i="2"/>
  <c r="L143" i="2"/>
  <c r="I143" i="2"/>
  <c r="A143" i="2"/>
  <c r="Y142" i="2"/>
  <c r="X142" i="2"/>
  <c r="W142" i="2"/>
  <c r="V142" i="2"/>
  <c r="U142" i="2"/>
  <c r="R142" i="2"/>
  <c r="O142" i="2"/>
  <c r="L142" i="2"/>
  <c r="I142" i="2"/>
  <c r="A142" i="2"/>
  <c r="Y141" i="2"/>
  <c r="X141" i="2"/>
  <c r="W141" i="2"/>
  <c r="V141" i="2"/>
  <c r="U141" i="2"/>
  <c r="R141" i="2"/>
  <c r="O141" i="2"/>
  <c r="L141" i="2"/>
  <c r="I141" i="2"/>
  <c r="A141" i="2"/>
  <c r="Y140" i="2"/>
  <c r="X140" i="2"/>
  <c r="W140" i="2"/>
  <c r="V140" i="2"/>
  <c r="U140" i="2"/>
  <c r="R140" i="2"/>
  <c r="O140" i="2"/>
  <c r="L140" i="2"/>
  <c r="I140" i="2"/>
  <c r="A140" i="2"/>
  <c r="Y139" i="2"/>
  <c r="X139" i="2"/>
  <c r="W139" i="2"/>
  <c r="V139" i="2"/>
  <c r="U139" i="2"/>
  <c r="R139" i="2"/>
  <c r="O139" i="2"/>
  <c r="L139" i="2"/>
  <c r="I139" i="2"/>
  <c r="A139" i="2"/>
  <c r="Y138" i="2"/>
  <c r="X138" i="2"/>
  <c r="W138" i="2"/>
  <c r="V138" i="2"/>
  <c r="U138" i="2"/>
  <c r="R138" i="2"/>
  <c r="O138" i="2"/>
  <c r="L138" i="2"/>
  <c r="I138" i="2"/>
  <c r="A138" i="2"/>
  <c r="Y137" i="2"/>
  <c r="X137" i="2"/>
  <c r="W137" i="2"/>
  <c r="V137" i="2"/>
  <c r="U137" i="2"/>
  <c r="R137" i="2"/>
  <c r="O137" i="2"/>
  <c r="L137" i="2"/>
  <c r="I137" i="2"/>
  <c r="A137" i="2"/>
  <c r="Y136" i="2"/>
  <c r="X136" i="2"/>
  <c r="W136" i="2"/>
  <c r="V136" i="2"/>
  <c r="U136" i="2"/>
  <c r="R136" i="2"/>
  <c r="O136" i="2"/>
  <c r="L136" i="2"/>
  <c r="I136" i="2"/>
  <c r="A136" i="2"/>
  <c r="Y135" i="2"/>
  <c r="X135" i="2"/>
  <c r="W135" i="2"/>
  <c r="V135" i="2"/>
  <c r="U135" i="2"/>
  <c r="R135" i="2"/>
  <c r="O135" i="2"/>
  <c r="L135" i="2"/>
  <c r="I135" i="2"/>
  <c r="A135" i="2"/>
  <c r="Y134" i="2"/>
  <c r="X134" i="2"/>
  <c r="W134" i="2"/>
  <c r="V134" i="2"/>
  <c r="U134" i="2"/>
  <c r="R134" i="2"/>
  <c r="O134" i="2"/>
  <c r="L134" i="2"/>
  <c r="I134" i="2"/>
  <c r="A134" i="2"/>
  <c r="Y133" i="2"/>
  <c r="X133" i="2"/>
  <c r="W133" i="2"/>
  <c r="V133" i="2"/>
  <c r="U133" i="2"/>
  <c r="R133" i="2"/>
  <c r="O133" i="2"/>
  <c r="L133" i="2"/>
  <c r="I133" i="2"/>
  <c r="A133" i="2"/>
  <c r="Y132" i="2"/>
  <c r="X132" i="2"/>
  <c r="W132" i="2"/>
  <c r="V132" i="2"/>
  <c r="U132" i="2"/>
  <c r="R132" i="2"/>
  <c r="O132" i="2"/>
  <c r="L132" i="2"/>
  <c r="I132" i="2"/>
  <c r="A132" i="2"/>
  <c r="Y131" i="2"/>
  <c r="X131" i="2"/>
  <c r="W131" i="2"/>
  <c r="V131" i="2"/>
  <c r="U131" i="2"/>
  <c r="R131" i="2"/>
  <c r="O131" i="2"/>
  <c r="L131" i="2"/>
  <c r="I131" i="2"/>
  <c r="A131" i="2"/>
  <c r="Y130" i="2"/>
  <c r="X130" i="2"/>
  <c r="W130" i="2"/>
  <c r="V130" i="2"/>
  <c r="U130" i="2"/>
  <c r="R130" i="2"/>
  <c r="O130" i="2"/>
  <c r="L130" i="2"/>
  <c r="I130" i="2"/>
  <c r="A130" i="2"/>
  <c r="Y129" i="2"/>
  <c r="X129" i="2"/>
  <c r="W129" i="2"/>
  <c r="V129" i="2"/>
  <c r="U129" i="2"/>
  <c r="R129" i="2"/>
  <c r="O129" i="2"/>
  <c r="L129" i="2"/>
  <c r="I129" i="2"/>
  <c r="A129" i="2"/>
  <c r="Y128" i="2"/>
  <c r="X128" i="2"/>
  <c r="W128" i="2"/>
  <c r="V128" i="2"/>
  <c r="U128" i="2"/>
  <c r="R128" i="2"/>
  <c r="O128" i="2"/>
  <c r="L128" i="2"/>
  <c r="I128" i="2"/>
  <c r="A128" i="2"/>
  <c r="Y127" i="2"/>
  <c r="X127" i="2"/>
  <c r="W127" i="2"/>
  <c r="V127" i="2"/>
  <c r="U127" i="2"/>
  <c r="R127" i="2"/>
  <c r="O127" i="2"/>
  <c r="L127" i="2"/>
  <c r="I127" i="2"/>
  <c r="A127" i="2"/>
  <c r="Y126" i="2"/>
  <c r="X126" i="2"/>
  <c r="W126" i="2"/>
  <c r="V126" i="2"/>
  <c r="U126" i="2"/>
  <c r="R126" i="2"/>
  <c r="O126" i="2"/>
  <c r="L126" i="2"/>
  <c r="I126" i="2"/>
  <c r="A126" i="2"/>
  <c r="Y125" i="2"/>
  <c r="X125" i="2"/>
  <c r="W125" i="2"/>
  <c r="V125" i="2"/>
  <c r="U125" i="2"/>
  <c r="R125" i="2"/>
  <c r="O125" i="2"/>
  <c r="L125" i="2"/>
  <c r="I125" i="2"/>
  <c r="A125" i="2"/>
  <c r="Y124" i="2"/>
  <c r="X124" i="2"/>
  <c r="W124" i="2"/>
  <c r="V124" i="2"/>
  <c r="U124" i="2"/>
  <c r="R124" i="2"/>
  <c r="O124" i="2"/>
  <c r="L124" i="2"/>
  <c r="I124" i="2"/>
  <c r="A124" i="2"/>
  <c r="Y123" i="2"/>
  <c r="X123" i="2"/>
  <c r="W123" i="2"/>
  <c r="V123" i="2"/>
  <c r="U123" i="2"/>
  <c r="R123" i="2"/>
  <c r="O123" i="2"/>
  <c r="L123" i="2"/>
  <c r="I123" i="2"/>
  <c r="A123" i="2"/>
  <c r="Y122" i="2"/>
  <c r="X122" i="2"/>
  <c r="W122" i="2"/>
  <c r="V122" i="2"/>
  <c r="U122" i="2"/>
  <c r="R122" i="2"/>
  <c r="O122" i="2"/>
  <c r="L122" i="2"/>
  <c r="I122" i="2"/>
  <c r="A122" i="2"/>
  <c r="Y121" i="2"/>
  <c r="X121" i="2"/>
  <c r="W121" i="2"/>
  <c r="V121" i="2"/>
  <c r="U121" i="2"/>
  <c r="R121" i="2"/>
  <c r="O121" i="2"/>
  <c r="L121" i="2"/>
  <c r="I121" i="2"/>
  <c r="A121" i="2"/>
  <c r="Y120" i="2"/>
  <c r="X120" i="2"/>
  <c r="W120" i="2"/>
  <c r="V120" i="2"/>
  <c r="U120" i="2"/>
  <c r="R120" i="2"/>
  <c r="O120" i="2"/>
  <c r="L120" i="2"/>
  <c r="I120" i="2"/>
  <c r="A120" i="2"/>
  <c r="Y119" i="2"/>
  <c r="X119" i="2"/>
  <c r="W119" i="2"/>
  <c r="V119" i="2"/>
  <c r="U119" i="2"/>
  <c r="R119" i="2"/>
  <c r="O119" i="2"/>
  <c r="L119" i="2"/>
  <c r="I119" i="2"/>
  <c r="A119" i="2"/>
  <c r="Y118" i="2"/>
  <c r="X118" i="2"/>
  <c r="W118" i="2"/>
  <c r="V118" i="2"/>
  <c r="U118" i="2"/>
  <c r="R118" i="2"/>
  <c r="O118" i="2"/>
  <c r="L118" i="2"/>
  <c r="I118" i="2"/>
  <c r="A118" i="2"/>
  <c r="Y117" i="2"/>
  <c r="X117" i="2"/>
  <c r="W117" i="2"/>
  <c r="V117" i="2"/>
  <c r="U117" i="2"/>
  <c r="R117" i="2"/>
  <c r="O117" i="2"/>
  <c r="L117" i="2"/>
  <c r="I117" i="2"/>
  <c r="A117" i="2"/>
  <c r="Y116" i="2"/>
  <c r="X116" i="2"/>
  <c r="W116" i="2"/>
  <c r="V116" i="2"/>
  <c r="U116" i="2"/>
  <c r="R116" i="2"/>
  <c r="O116" i="2"/>
  <c r="L116" i="2"/>
  <c r="I116" i="2"/>
  <c r="A116" i="2"/>
  <c r="Y115" i="2"/>
  <c r="X115" i="2"/>
  <c r="W115" i="2"/>
  <c r="V115" i="2"/>
  <c r="U115" i="2"/>
  <c r="R115" i="2"/>
  <c r="O115" i="2"/>
  <c r="L115" i="2"/>
  <c r="I115" i="2"/>
  <c r="A115" i="2"/>
  <c r="Y114" i="2"/>
  <c r="X114" i="2"/>
  <c r="W114" i="2"/>
  <c r="V114" i="2"/>
  <c r="U114" i="2"/>
  <c r="R114" i="2"/>
  <c r="O114" i="2"/>
  <c r="L114" i="2"/>
  <c r="I114" i="2"/>
  <c r="A114" i="2"/>
  <c r="Y113" i="2"/>
  <c r="X113" i="2"/>
  <c r="W113" i="2"/>
  <c r="V113" i="2"/>
  <c r="U113" i="2"/>
  <c r="R113" i="2"/>
  <c r="O113" i="2"/>
  <c r="L113" i="2"/>
  <c r="I113" i="2"/>
  <c r="A113" i="2"/>
  <c r="Y112" i="2"/>
  <c r="X112" i="2"/>
  <c r="W112" i="2"/>
  <c r="V112" i="2"/>
  <c r="U112" i="2"/>
  <c r="R112" i="2"/>
  <c r="O112" i="2"/>
  <c r="L112" i="2"/>
  <c r="I112" i="2"/>
  <c r="A112" i="2"/>
  <c r="Y111" i="2"/>
  <c r="X111" i="2"/>
  <c r="W111" i="2"/>
  <c r="V111" i="2"/>
  <c r="U111" i="2"/>
  <c r="R111" i="2"/>
  <c r="O111" i="2"/>
  <c r="L111" i="2"/>
  <c r="I111" i="2"/>
  <c r="A111" i="2"/>
  <c r="Y110" i="2"/>
  <c r="X110" i="2"/>
  <c r="W110" i="2"/>
  <c r="V110" i="2"/>
  <c r="U110" i="2"/>
  <c r="R110" i="2"/>
  <c r="O110" i="2"/>
  <c r="L110" i="2"/>
  <c r="I110" i="2"/>
  <c r="A110" i="2"/>
  <c r="Y109" i="2"/>
  <c r="X109" i="2"/>
  <c r="W109" i="2"/>
  <c r="V109" i="2"/>
  <c r="U109" i="2"/>
  <c r="R109" i="2"/>
  <c r="O109" i="2"/>
  <c r="L109" i="2"/>
  <c r="I109" i="2"/>
  <c r="A109" i="2"/>
  <c r="Y108" i="2"/>
  <c r="X108" i="2"/>
  <c r="W108" i="2"/>
  <c r="V108" i="2"/>
  <c r="U108" i="2"/>
  <c r="R108" i="2"/>
  <c r="O108" i="2"/>
  <c r="L108" i="2"/>
  <c r="I108" i="2"/>
  <c r="A108" i="2"/>
  <c r="Y107" i="2"/>
  <c r="X107" i="2"/>
  <c r="W107" i="2"/>
  <c r="V107" i="2"/>
  <c r="U107" i="2"/>
  <c r="R107" i="2"/>
  <c r="O107" i="2"/>
  <c r="L107" i="2"/>
  <c r="I107" i="2"/>
  <c r="A107" i="2"/>
  <c r="Y106" i="2"/>
  <c r="X106" i="2"/>
  <c r="W106" i="2"/>
  <c r="V106" i="2"/>
  <c r="U106" i="2"/>
  <c r="R106" i="2"/>
  <c r="O106" i="2"/>
  <c r="L106" i="2"/>
  <c r="I106" i="2"/>
  <c r="A106" i="2"/>
  <c r="Y105" i="2"/>
  <c r="X105" i="2"/>
  <c r="W105" i="2"/>
  <c r="V105" i="2"/>
  <c r="U105" i="2"/>
  <c r="R105" i="2"/>
  <c r="O105" i="2"/>
  <c r="L105" i="2"/>
  <c r="I105" i="2"/>
  <c r="A105" i="2"/>
  <c r="Y104" i="2"/>
  <c r="X104" i="2"/>
  <c r="W104" i="2"/>
  <c r="V104" i="2"/>
  <c r="U104" i="2"/>
  <c r="R104" i="2"/>
  <c r="O104" i="2"/>
  <c r="L104" i="2"/>
  <c r="I104" i="2"/>
  <c r="A104" i="2"/>
  <c r="Y103" i="2"/>
  <c r="X103" i="2"/>
  <c r="W103" i="2"/>
  <c r="V103" i="2"/>
  <c r="U103" i="2"/>
  <c r="R103" i="2"/>
  <c r="O103" i="2"/>
  <c r="L103" i="2"/>
  <c r="I103" i="2"/>
  <c r="A103" i="2"/>
  <c r="Y102" i="2"/>
  <c r="X102" i="2"/>
  <c r="W102" i="2"/>
  <c r="V102" i="2"/>
  <c r="U102" i="2"/>
  <c r="R102" i="2"/>
  <c r="O102" i="2"/>
  <c r="L102" i="2"/>
  <c r="I102" i="2"/>
  <c r="A102" i="2"/>
  <c r="Y101" i="2"/>
  <c r="X101" i="2"/>
  <c r="W101" i="2"/>
  <c r="V101" i="2"/>
  <c r="U101" i="2"/>
  <c r="R101" i="2"/>
  <c r="O101" i="2"/>
  <c r="L101" i="2"/>
  <c r="I101" i="2"/>
  <c r="A101" i="2"/>
  <c r="Y100" i="2"/>
  <c r="X100" i="2"/>
  <c r="W100" i="2"/>
  <c r="V100" i="2"/>
  <c r="U100" i="2"/>
  <c r="R100" i="2"/>
  <c r="O100" i="2"/>
  <c r="L100" i="2"/>
  <c r="I100" i="2"/>
  <c r="A100" i="2"/>
  <c r="Y99" i="2"/>
  <c r="X99" i="2"/>
  <c r="W99" i="2"/>
  <c r="V99" i="2"/>
  <c r="U99" i="2"/>
  <c r="R99" i="2"/>
  <c r="O99" i="2"/>
  <c r="L99" i="2"/>
  <c r="I99" i="2"/>
  <c r="A99" i="2"/>
  <c r="Y98" i="2"/>
  <c r="X98" i="2"/>
  <c r="W98" i="2"/>
  <c r="V98" i="2"/>
  <c r="U98" i="2"/>
  <c r="R98" i="2"/>
  <c r="O98" i="2"/>
  <c r="L98" i="2"/>
  <c r="I98" i="2"/>
  <c r="A98" i="2"/>
  <c r="Y97" i="2"/>
  <c r="X97" i="2"/>
  <c r="W97" i="2"/>
  <c r="V97" i="2"/>
  <c r="U97" i="2"/>
  <c r="R97" i="2"/>
  <c r="O97" i="2"/>
  <c r="L97" i="2"/>
  <c r="I97" i="2"/>
  <c r="A97" i="2"/>
  <c r="Y96" i="2"/>
  <c r="X96" i="2"/>
  <c r="W96" i="2"/>
  <c r="V96" i="2"/>
  <c r="U96" i="2"/>
  <c r="R96" i="2"/>
  <c r="O96" i="2"/>
  <c r="L96" i="2"/>
  <c r="I96" i="2"/>
  <c r="A96" i="2"/>
  <c r="Y95" i="2"/>
  <c r="X95" i="2"/>
  <c r="W95" i="2"/>
  <c r="V95" i="2"/>
  <c r="U95" i="2"/>
  <c r="R95" i="2"/>
  <c r="O95" i="2"/>
  <c r="L95" i="2"/>
  <c r="I95" i="2"/>
  <c r="A95" i="2"/>
  <c r="Y94" i="2"/>
  <c r="X94" i="2"/>
  <c r="W94" i="2"/>
  <c r="V94" i="2"/>
  <c r="U94" i="2"/>
  <c r="R94" i="2"/>
  <c r="O94" i="2"/>
  <c r="L94" i="2"/>
  <c r="I94" i="2"/>
  <c r="A94" i="2"/>
  <c r="Y93" i="2"/>
  <c r="X93" i="2"/>
  <c r="W93" i="2"/>
  <c r="V93" i="2"/>
  <c r="U93" i="2"/>
  <c r="R93" i="2"/>
  <c r="O93" i="2"/>
  <c r="L93" i="2"/>
  <c r="I93" i="2"/>
  <c r="A93" i="2"/>
  <c r="Y92" i="2"/>
  <c r="X92" i="2"/>
  <c r="W92" i="2"/>
  <c r="V92" i="2"/>
  <c r="U92" i="2"/>
  <c r="R92" i="2"/>
  <c r="O92" i="2"/>
  <c r="L92" i="2"/>
  <c r="I92" i="2"/>
  <c r="A92" i="2"/>
  <c r="Y91" i="2"/>
  <c r="X91" i="2"/>
  <c r="W91" i="2"/>
  <c r="V91" i="2"/>
  <c r="U91" i="2"/>
  <c r="R91" i="2"/>
  <c r="O91" i="2"/>
  <c r="L91" i="2"/>
  <c r="I91" i="2"/>
  <c r="A91" i="2"/>
  <c r="Y90" i="2"/>
  <c r="X90" i="2"/>
  <c r="W90" i="2"/>
  <c r="V90" i="2"/>
  <c r="U90" i="2"/>
  <c r="R90" i="2"/>
  <c r="O90" i="2"/>
  <c r="L90" i="2"/>
  <c r="I90" i="2"/>
  <c r="A90" i="2"/>
  <c r="Y89" i="2"/>
  <c r="X89" i="2"/>
  <c r="W89" i="2"/>
  <c r="V89" i="2"/>
  <c r="U89" i="2"/>
  <c r="R89" i="2"/>
  <c r="O89" i="2"/>
  <c r="L89" i="2"/>
  <c r="I89" i="2"/>
  <c r="A89" i="2"/>
  <c r="Y88" i="2"/>
  <c r="X88" i="2"/>
  <c r="W88" i="2"/>
  <c r="V88" i="2"/>
  <c r="U88" i="2"/>
  <c r="R88" i="2"/>
  <c r="O88" i="2"/>
  <c r="L88" i="2"/>
  <c r="I88" i="2"/>
  <c r="A88" i="2"/>
  <c r="Y87" i="2"/>
  <c r="X87" i="2"/>
  <c r="W87" i="2"/>
  <c r="V87" i="2"/>
  <c r="U87" i="2"/>
  <c r="R87" i="2"/>
  <c r="O87" i="2"/>
  <c r="L87" i="2"/>
  <c r="I87" i="2"/>
  <c r="A87" i="2"/>
  <c r="Y86" i="2"/>
  <c r="X86" i="2"/>
  <c r="W86" i="2"/>
  <c r="V86" i="2"/>
  <c r="U86" i="2"/>
  <c r="R86" i="2"/>
  <c r="O86" i="2"/>
  <c r="L86" i="2"/>
  <c r="I86" i="2"/>
  <c r="A86" i="2"/>
  <c r="Y85" i="2"/>
  <c r="X85" i="2"/>
  <c r="W85" i="2"/>
  <c r="V85" i="2"/>
  <c r="U85" i="2"/>
  <c r="R85" i="2"/>
  <c r="O85" i="2"/>
  <c r="L85" i="2"/>
  <c r="I85" i="2"/>
  <c r="A85" i="2"/>
  <c r="Y84" i="2"/>
  <c r="X84" i="2"/>
  <c r="W84" i="2"/>
  <c r="V84" i="2"/>
  <c r="U84" i="2"/>
  <c r="R84" i="2"/>
  <c r="O84" i="2"/>
  <c r="L84" i="2"/>
  <c r="I84" i="2"/>
  <c r="A84" i="2"/>
  <c r="Y83" i="2"/>
  <c r="X83" i="2"/>
  <c r="W83" i="2"/>
  <c r="V83" i="2"/>
  <c r="U83" i="2"/>
  <c r="R83" i="2"/>
  <c r="O83" i="2"/>
  <c r="L83" i="2"/>
  <c r="I83" i="2"/>
  <c r="A83" i="2"/>
  <c r="Y82" i="2"/>
  <c r="X82" i="2"/>
  <c r="W82" i="2"/>
  <c r="V82" i="2"/>
  <c r="U82" i="2"/>
  <c r="R82" i="2"/>
  <c r="O82" i="2"/>
  <c r="L82" i="2"/>
  <c r="I82" i="2"/>
  <c r="A82" i="2"/>
  <c r="Y81" i="2"/>
  <c r="X81" i="2"/>
  <c r="W81" i="2"/>
  <c r="V81" i="2"/>
  <c r="U81" i="2"/>
  <c r="R81" i="2"/>
  <c r="O81" i="2"/>
  <c r="L81" i="2"/>
  <c r="I81" i="2"/>
  <c r="A81" i="2"/>
  <c r="Y80" i="2"/>
  <c r="X80" i="2"/>
  <c r="W80" i="2"/>
  <c r="V80" i="2"/>
  <c r="U80" i="2"/>
  <c r="R80" i="2"/>
  <c r="O80" i="2"/>
  <c r="L80" i="2"/>
  <c r="I80" i="2"/>
  <c r="A80" i="2"/>
  <c r="Y79" i="2"/>
  <c r="X79" i="2"/>
  <c r="W79" i="2"/>
  <c r="V79" i="2"/>
  <c r="U79" i="2"/>
  <c r="R79" i="2"/>
  <c r="O79" i="2"/>
  <c r="L79" i="2"/>
  <c r="I79" i="2"/>
  <c r="A79" i="2"/>
  <c r="Y78" i="2"/>
  <c r="X78" i="2"/>
  <c r="W78" i="2"/>
  <c r="V78" i="2"/>
  <c r="U78" i="2"/>
  <c r="R78" i="2"/>
  <c r="O78" i="2"/>
  <c r="L78" i="2"/>
  <c r="I78" i="2"/>
  <c r="A78" i="2"/>
  <c r="Y77" i="2"/>
  <c r="X77" i="2"/>
  <c r="W77" i="2"/>
  <c r="V77" i="2"/>
  <c r="U77" i="2"/>
  <c r="R77" i="2"/>
  <c r="O77" i="2"/>
  <c r="L77" i="2"/>
  <c r="I77" i="2"/>
  <c r="A77" i="2"/>
  <c r="Y76" i="2"/>
  <c r="X76" i="2"/>
  <c r="W76" i="2"/>
  <c r="V76" i="2"/>
  <c r="U76" i="2"/>
  <c r="R76" i="2"/>
  <c r="O76" i="2"/>
  <c r="L76" i="2"/>
  <c r="I76" i="2"/>
  <c r="A76" i="2"/>
  <c r="Y75" i="2"/>
  <c r="X75" i="2"/>
  <c r="W75" i="2"/>
  <c r="V75" i="2"/>
  <c r="U75" i="2"/>
  <c r="R75" i="2"/>
  <c r="O75" i="2"/>
  <c r="L75" i="2"/>
  <c r="I75" i="2"/>
  <c r="A75" i="2"/>
  <c r="Y74" i="2"/>
  <c r="X74" i="2"/>
  <c r="W74" i="2"/>
  <c r="V74" i="2"/>
  <c r="U74" i="2"/>
  <c r="R74" i="2"/>
  <c r="O74" i="2"/>
  <c r="L74" i="2"/>
  <c r="I74" i="2"/>
  <c r="A74" i="2"/>
  <c r="Y73" i="2"/>
  <c r="X73" i="2"/>
  <c r="W73" i="2"/>
  <c r="V73" i="2"/>
  <c r="U73" i="2"/>
  <c r="R73" i="2"/>
  <c r="O73" i="2"/>
  <c r="L73" i="2"/>
  <c r="I73" i="2"/>
  <c r="A73" i="2"/>
  <c r="Y72" i="2"/>
  <c r="X72" i="2"/>
  <c r="W72" i="2"/>
  <c r="V72" i="2"/>
  <c r="U72" i="2"/>
  <c r="R72" i="2"/>
  <c r="O72" i="2"/>
  <c r="L72" i="2"/>
  <c r="I72" i="2"/>
  <c r="A72" i="2"/>
  <c r="Y71" i="2"/>
  <c r="X71" i="2"/>
  <c r="W71" i="2"/>
  <c r="V71" i="2"/>
  <c r="U71" i="2"/>
  <c r="R71" i="2"/>
  <c r="O71" i="2"/>
  <c r="L71" i="2"/>
  <c r="I71" i="2"/>
  <c r="A71" i="2"/>
  <c r="Y70" i="2"/>
  <c r="X70" i="2"/>
  <c r="W70" i="2"/>
  <c r="V70" i="2"/>
  <c r="U70" i="2"/>
  <c r="R70" i="2"/>
  <c r="O70" i="2"/>
  <c r="L70" i="2"/>
  <c r="I70" i="2"/>
  <c r="A70" i="2"/>
  <c r="Y69" i="2"/>
  <c r="X69" i="2"/>
  <c r="W69" i="2"/>
  <c r="V69" i="2"/>
  <c r="U69" i="2"/>
  <c r="R69" i="2"/>
  <c r="O69" i="2"/>
  <c r="L69" i="2"/>
  <c r="I69" i="2"/>
  <c r="A69" i="2"/>
  <c r="Y68" i="2"/>
  <c r="X68" i="2"/>
  <c r="W68" i="2"/>
  <c r="V68" i="2"/>
  <c r="U68" i="2"/>
  <c r="R68" i="2"/>
  <c r="O68" i="2"/>
  <c r="L68" i="2"/>
  <c r="I68" i="2"/>
  <c r="A68" i="2"/>
  <c r="Y67" i="2"/>
  <c r="X67" i="2"/>
  <c r="W67" i="2"/>
  <c r="V67" i="2"/>
  <c r="U67" i="2"/>
  <c r="R67" i="2"/>
  <c r="O67" i="2"/>
  <c r="L67" i="2"/>
  <c r="I67" i="2"/>
  <c r="A67" i="2"/>
  <c r="Y66" i="2"/>
  <c r="X66" i="2"/>
  <c r="W66" i="2"/>
  <c r="V66" i="2"/>
  <c r="U66" i="2"/>
  <c r="R66" i="2"/>
  <c r="O66" i="2"/>
  <c r="L66" i="2"/>
  <c r="I66" i="2"/>
  <c r="A66" i="2"/>
  <c r="Y65" i="2"/>
  <c r="X65" i="2"/>
  <c r="W65" i="2"/>
  <c r="V65" i="2"/>
  <c r="U65" i="2"/>
  <c r="R65" i="2"/>
  <c r="O65" i="2"/>
  <c r="L65" i="2"/>
  <c r="I65" i="2"/>
  <c r="A65" i="2"/>
  <c r="Y64" i="2"/>
  <c r="X64" i="2"/>
  <c r="W64" i="2"/>
  <c r="V64" i="2"/>
  <c r="U64" i="2"/>
  <c r="R64" i="2"/>
  <c r="O64" i="2"/>
  <c r="L64" i="2"/>
  <c r="I64" i="2"/>
  <c r="A64" i="2"/>
  <c r="Y63" i="2"/>
  <c r="X63" i="2"/>
  <c r="W63" i="2"/>
  <c r="V63" i="2"/>
  <c r="U63" i="2"/>
  <c r="R63" i="2"/>
  <c r="O63" i="2"/>
  <c r="L63" i="2"/>
  <c r="I63" i="2"/>
  <c r="A63" i="2"/>
  <c r="Y62" i="2"/>
  <c r="X62" i="2"/>
  <c r="W62" i="2"/>
  <c r="V62" i="2"/>
  <c r="U62" i="2"/>
  <c r="R62" i="2"/>
  <c r="O62" i="2"/>
  <c r="L62" i="2"/>
  <c r="I62" i="2"/>
  <c r="A62" i="2"/>
  <c r="Y61" i="2"/>
  <c r="X61" i="2"/>
  <c r="W61" i="2"/>
  <c r="V61" i="2"/>
  <c r="U61" i="2"/>
  <c r="R61" i="2"/>
  <c r="O61" i="2"/>
  <c r="L61" i="2"/>
  <c r="I61" i="2"/>
  <c r="A61" i="2"/>
  <c r="Y60" i="2"/>
  <c r="X60" i="2"/>
  <c r="W60" i="2"/>
  <c r="V60" i="2"/>
  <c r="U60" i="2"/>
  <c r="R60" i="2"/>
  <c r="O60" i="2"/>
  <c r="L60" i="2"/>
  <c r="I60" i="2"/>
  <c r="A60" i="2"/>
  <c r="Y59" i="2"/>
  <c r="X59" i="2"/>
  <c r="W59" i="2"/>
  <c r="V59" i="2"/>
  <c r="U59" i="2"/>
  <c r="R59" i="2"/>
  <c r="O59" i="2"/>
  <c r="L59" i="2"/>
  <c r="I59" i="2"/>
  <c r="A59" i="2"/>
  <c r="Y58" i="2"/>
  <c r="X58" i="2"/>
  <c r="W58" i="2"/>
  <c r="V58" i="2"/>
  <c r="U58" i="2"/>
  <c r="R58" i="2"/>
  <c r="O58" i="2"/>
  <c r="L58" i="2"/>
  <c r="I58" i="2"/>
  <c r="A58" i="2"/>
  <c r="Y57" i="2"/>
  <c r="X57" i="2"/>
  <c r="W57" i="2"/>
  <c r="V57" i="2"/>
  <c r="U57" i="2"/>
  <c r="R57" i="2"/>
  <c r="O57" i="2"/>
  <c r="L57" i="2"/>
  <c r="I57" i="2"/>
  <c r="A57" i="2"/>
  <c r="Y56" i="2"/>
  <c r="X56" i="2"/>
  <c r="W56" i="2"/>
  <c r="V56" i="2"/>
  <c r="U56" i="2"/>
  <c r="R56" i="2"/>
  <c r="O56" i="2"/>
  <c r="L56" i="2"/>
  <c r="I56" i="2"/>
  <c r="A56" i="2"/>
  <c r="Y55" i="2"/>
  <c r="X55" i="2"/>
  <c r="W55" i="2"/>
  <c r="V55" i="2"/>
  <c r="U55" i="2"/>
  <c r="R55" i="2"/>
  <c r="O55" i="2"/>
  <c r="L55" i="2"/>
  <c r="I55" i="2"/>
  <c r="A55" i="2"/>
  <c r="Y54" i="2"/>
  <c r="X54" i="2"/>
  <c r="W54" i="2"/>
  <c r="V54" i="2"/>
  <c r="U54" i="2"/>
  <c r="R54" i="2"/>
  <c r="O54" i="2"/>
  <c r="L54" i="2"/>
  <c r="I54" i="2"/>
  <c r="A54" i="2"/>
  <c r="Y53" i="2"/>
  <c r="X53" i="2"/>
  <c r="W53" i="2"/>
  <c r="V53" i="2"/>
  <c r="U53" i="2"/>
  <c r="R53" i="2"/>
  <c r="O53" i="2"/>
  <c r="L53" i="2"/>
  <c r="I53" i="2"/>
  <c r="A53" i="2"/>
  <c r="Y52" i="2"/>
  <c r="X52" i="2"/>
  <c r="W52" i="2"/>
  <c r="V52" i="2"/>
  <c r="U52" i="2"/>
  <c r="R52" i="2"/>
  <c r="O52" i="2"/>
  <c r="L52" i="2"/>
  <c r="I52" i="2"/>
  <c r="A52" i="2"/>
  <c r="Y51" i="2"/>
  <c r="X51" i="2"/>
  <c r="W51" i="2"/>
  <c r="V51" i="2"/>
  <c r="U51" i="2"/>
  <c r="R51" i="2"/>
  <c r="O51" i="2"/>
  <c r="L51" i="2"/>
  <c r="I51" i="2"/>
  <c r="A51" i="2"/>
  <c r="Y50" i="2"/>
  <c r="X50" i="2"/>
  <c r="W50" i="2"/>
  <c r="V50" i="2"/>
  <c r="U50" i="2"/>
  <c r="R50" i="2"/>
  <c r="O50" i="2"/>
  <c r="L50" i="2"/>
  <c r="I50" i="2"/>
  <c r="A50" i="2"/>
  <c r="Y49" i="2"/>
  <c r="X49" i="2"/>
  <c r="W49" i="2"/>
  <c r="V49" i="2"/>
  <c r="U49" i="2"/>
  <c r="R49" i="2"/>
  <c r="O49" i="2"/>
  <c r="L49" i="2"/>
  <c r="I49" i="2"/>
  <c r="A49" i="2"/>
  <c r="Y48" i="2"/>
  <c r="X48" i="2"/>
  <c r="W48" i="2"/>
  <c r="V48" i="2"/>
  <c r="U48" i="2"/>
  <c r="R48" i="2"/>
  <c r="O48" i="2"/>
  <c r="L48" i="2"/>
  <c r="I48" i="2"/>
  <c r="A48" i="2"/>
  <c r="Y47" i="2"/>
  <c r="X47" i="2"/>
  <c r="W47" i="2"/>
  <c r="V47" i="2"/>
  <c r="U47" i="2"/>
  <c r="R47" i="2"/>
  <c r="O47" i="2"/>
  <c r="L47" i="2"/>
  <c r="I47" i="2"/>
  <c r="A47" i="2"/>
  <c r="Y46" i="2"/>
  <c r="X46" i="2"/>
  <c r="W46" i="2"/>
  <c r="V46" i="2"/>
  <c r="U46" i="2"/>
  <c r="R46" i="2"/>
  <c r="O46" i="2"/>
  <c r="L46" i="2"/>
  <c r="I46" i="2"/>
  <c r="A46" i="2"/>
  <c r="Y45" i="2"/>
  <c r="X45" i="2"/>
  <c r="W45" i="2"/>
  <c r="V45" i="2"/>
  <c r="U45" i="2"/>
  <c r="R45" i="2"/>
  <c r="O45" i="2"/>
  <c r="L45" i="2"/>
  <c r="I45" i="2"/>
  <c r="A45" i="2"/>
  <c r="Y44" i="2"/>
  <c r="X44" i="2"/>
  <c r="W44" i="2"/>
  <c r="V44" i="2"/>
  <c r="U44" i="2"/>
  <c r="R44" i="2"/>
  <c r="O44" i="2"/>
  <c r="L44" i="2"/>
  <c r="I44" i="2"/>
  <c r="A44" i="2"/>
  <c r="Y43" i="2"/>
  <c r="X43" i="2"/>
  <c r="W43" i="2"/>
  <c r="V43" i="2"/>
  <c r="U43" i="2"/>
  <c r="R43" i="2"/>
  <c r="O43" i="2"/>
  <c r="L43" i="2"/>
  <c r="I43" i="2"/>
  <c r="A43" i="2"/>
  <c r="Y42" i="2"/>
  <c r="X42" i="2"/>
  <c r="W42" i="2"/>
  <c r="V42" i="2"/>
  <c r="U42" i="2"/>
  <c r="R42" i="2"/>
  <c r="O42" i="2"/>
  <c r="L42" i="2"/>
  <c r="I42" i="2"/>
  <c r="A42" i="2"/>
  <c r="Y41" i="2"/>
  <c r="X41" i="2"/>
  <c r="W41" i="2"/>
  <c r="V41" i="2"/>
  <c r="U41" i="2"/>
  <c r="R41" i="2"/>
  <c r="O41" i="2"/>
  <c r="L41" i="2"/>
  <c r="I41" i="2"/>
  <c r="A41" i="2"/>
  <c r="Y40" i="2"/>
  <c r="X40" i="2"/>
  <c r="W40" i="2"/>
  <c r="V40" i="2"/>
  <c r="U40" i="2"/>
  <c r="R40" i="2"/>
  <c r="O40" i="2"/>
  <c r="L40" i="2"/>
  <c r="I40" i="2"/>
  <c r="A40" i="2"/>
  <c r="Y39" i="2"/>
  <c r="X39" i="2"/>
  <c r="W39" i="2"/>
  <c r="V39" i="2"/>
  <c r="U39" i="2"/>
  <c r="R39" i="2"/>
  <c r="O39" i="2"/>
  <c r="L39" i="2"/>
  <c r="I39" i="2"/>
  <c r="A39" i="2"/>
  <c r="Y38" i="2"/>
  <c r="X38" i="2"/>
  <c r="W38" i="2"/>
  <c r="V38" i="2"/>
  <c r="U38" i="2"/>
  <c r="R38" i="2"/>
  <c r="O38" i="2"/>
  <c r="L38" i="2"/>
  <c r="I38" i="2"/>
  <c r="A38" i="2"/>
  <c r="Y37" i="2"/>
  <c r="X37" i="2"/>
  <c r="W37" i="2"/>
  <c r="V37" i="2"/>
  <c r="U37" i="2"/>
  <c r="R37" i="2"/>
  <c r="O37" i="2"/>
  <c r="L37" i="2"/>
  <c r="I37" i="2"/>
  <c r="A37" i="2"/>
  <c r="Y36" i="2"/>
  <c r="X36" i="2"/>
  <c r="W36" i="2"/>
  <c r="V36" i="2"/>
  <c r="U36" i="2"/>
  <c r="R36" i="2"/>
  <c r="O36" i="2"/>
  <c r="L36" i="2"/>
  <c r="I36" i="2"/>
  <c r="A36" i="2"/>
  <c r="Y35" i="2"/>
  <c r="X35" i="2"/>
  <c r="W35" i="2"/>
  <c r="V35" i="2"/>
  <c r="U35" i="2"/>
  <c r="R35" i="2"/>
  <c r="O35" i="2"/>
  <c r="L35" i="2"/>
  <c r="I35" i="2"/>
  <c r="A35" i="2"/>
  <c r="Y34" i="2"/>
  <c r="X34" i="2"/>
  <c r="W34" i="2"/>
  <c r="V34" i="2"/>
  <c r="U34" i="2"/>
  <c r="R34" i="2"/>
  <c r="O34" i="2"/>
  <c r="L34" i="2"/>
  <c r="I34" i="2"/>
  <c r="A34" i="2"/>
  <c r="Y33" i="2"/>
  <c r="X33" i="2"/>
  <c r="W33" i="2"/>
  <c r="V33" i="2"/>
  <c r="U33" i="2"/>
  <c r="R33" i="2"/>
  <c r="O33" i="2"/>
  <c r="L33" i="2"/>
  <c r="I33" i="2"/>
  <c r="A33" i="2"/>
  <c r="Y32" i="2"/>
  <c r="X32" i="2"/>
  <c r="W32" i="2"/>
  <c r="V32" i="2"/>
  <c r="U32" i="2"/>
  <c r="R32" i="2"/>
  <c r="O32" i="2"/>
  <c r="L32" i="2"/>
  <c r="I32" i="2"/>
  <c r="A32" i="2"/>
  <c r="Y31" i="2"/>
  <c r="X31" i="2"/>
  <c r="W31" i="2"/>
  <c r="V31" i="2"/>
  <c r="U31" i="2"/>
  <c r="R31" i="2"/>
  <c r="O31" i="2"/>
  <c r="L31" i="2"/>
  <c r="I31" i="2"/>
  <c r="A31" i="2"/>
  <c r="Y30" i="2"/>
  <c r="X30" i="2"/>
  <c r="W30" i="2"/>
  <c r="V30" i="2"/>
  <c r="U30" i="2"/>
  <c r="R30" i="2"/>
  <c r="O30" i="2"/>
  <c r="L30" i="2"/>
  <c r="I30" i="2"/>
  <c r="A30" i="2"/>
  <c r="Y29" i="2"/>
  <c r="X29" i="2"/>
  <c r="W29" i="2"/>
  <c r="V29" i="2"/>
  <c r="U29" i="2"/>
  <c r="R29" i="2"/>
  <c r="O29" i="2"/>
  <c r="L29" i="2"/>
  <c r="I29" i="2"/>
  <c r="A29" i="2"/>
  <c r="Y28" i="2"/>
  <c r="X28" i="2"/>
  <c r="W28" i="2"/>
  <c r="V28" i="2"/>
  <c r="U28" i="2"/>
  <c r="R28" i="2"/>
  <c r="O28" i="2"/>
  <c r="L28" i="2"/>
  <c r="I28" i="2"/>
  <c r="A28" i="2"/>
  <c r="Y27" i="2"/>
  <c r="X27" i="2"/>
  <c r="W27" i="2"/>
  <c r="V27" i="2"/>
  <c r="U27" i="2"/>
  <c r="R27" i="2"/>
  <c r="O27" i="2"/>
  <c r="L27" i="2"/>
  <c r="I27" i="2"/>
  <c r="A27" i="2"/>
  <c r="Y26" i="2"/>
  <c r="X26" i="2"/>
  <c r="W26" i="2"/>
  <c r="V26" i="2"/>
  <c r="U26" i="2"/>
  <c r="R26" i="2"/>
  <c r="O26" i="2"/>
  <c r="L26" i="2"/>
  <c r="I26" i="2"/>
  <c r="A26" i="2"/>
  <c r="Y25" i="2"/>
  <c r="X25" i="2"/>
  <c r="W25" i="2"/>
  <c r="V25" i="2"/>
  <c r="U25" i="2"/>
  <c r="R25" i="2"/>
  <c r="O25" i="2"/>
  <c r="L25" i="2"/>
  <c r="I25" i="2"/>
  <c r="A25" i="2"/>
  <c r="Y24" i="2"/>
  <c r="X24" i="2"/>
  <c r="W24" i="2"/>
  <c r="V24" i="2"/>
  <c r="U24" i="2"/>
  <c r="R24" i="2"/>
  <c r="O24" i="2"/>
  <c r="L24" i="2"/>
  <c r="I24" i="2"/>
  <c r="A24" i="2"/>
  <c r="Y23" i="2"/>
  <c r="X23" i="2"/>
  <c r="W23" i="2"/>
  <c r="V23" i="2"/>
  <c r="U23" i="2"/>
  <c r="R23" i="2"/>
  <c r="O23" i="2"/>
  <c r="L23" i="2"/>
  <c r="I23" i="2"/>
  <c r="A23" i="2"/>
  <c r="Y22" i="2"/>
  <c r="X22" i="2"/>
  <c r="W22" i="2"/>
  <c r="V22" i="2"/>
  <c r="U22" i="2"/>
  <c r="R22" i="2"/>
  <c r="O22" i="2"/>
  <c r="L22" i="2"/>
  <c r="I22" i="2"/>
  <c r="A22" i="2"/>
  <c r="Y21" i="2"/>
  <c r="X21" i="2"/>
  <c r="W21" i="2"/>
  <c r="V21" i="2"/>
  <c r="U21" i="2"/>
  <c r="R21" i="2"/>
  <c r="O21" i="2"/>
  <c r="L21" i="2"/>
  <c r="I21" i="2"/>
  <c r="A21" i="2"/>
  <c r="Y20" i="2"/>
  <c r="X20" i="2"/>
  <c r="W20" i="2"/>
  <c r="V20" i="2"/>
  <c r="U20" i="2"/>
  <c r="R20" i="2"/>
  <c r="O20" i="2"/>
  <c r="L20" i="2"/>
  <c r="I20" i="2"/>
  <c r="A20" i="2"/>
  <c r="Y19" i="2"/>
  <c r="X19" i="2"/>
  <c r="W19" i="2"/>
  <c r="V19" i="2"/>
  <c r="U19" i="2"/>
  <c r="R19" i="2"/>
  <c r="O19" i="2"/>
  <c r="L19" i="2"/>
  <c r="I19" i="2"/>
  <c r="A19" i="2"/>
  <c r="Y18" i="2"/>
  <c r="X18" i="2"/>
  <c r="W18" i="2"/>
  <c r="V18" i="2"/>
  <c r="U18" i="2"/>
  <c r="R18" i="2"/>
  <c r="O18" i="2"/>
  <c r="L18" i="2"/>
  <c r="I18" i="2"/>
  <c r="A18" i="2"/>
  <c r="Y17" i="2"/>
  <c r="X17" i="2"/>
  <c r="W17" i="2"/>
  <c r="V17" i="2"/>
  <c r="U17" i="2"/>
  <c r="R17" i="2"/>
  <c r="O17" i="2"/>
  <c r="L17" i="2"/>
  <c r="I17" i="2"/>
  <c r="A17" i="2"/>
  <c r="Y16" i="2"/>
  <c r="X16" i="2"/>
  <c r="W16" i="2"/>
  <c r="V16" i="2"/>
  <c r="U16" i="2"/>
  <c r="R16" i="2"/>
  <c r="O16" i="2"/>
  <c r="L16" i="2"/>
  <c r="I16" i="2"/>
  <c r="A16" i="2"/>
  <c r="Y15" i="2"/>
  <c r="X15" i="2"/>
  <c r="W15" i="2"/>
  <c r="V15" i="2"/>
  <c r="U15" i="2"/>
  <c r="R15" i="2"/>
  <c r="O15" i="2"/>
  <c r="L15" i="2"/>
  <c r="I15" i="2"/>
  <c r="A15" i="2"/>
  <c r="Y14" i="2"/>
  <c r="X14" i="2"/>
  <c r="W14" i="2"/>
  <c r="V14" i="2"/>
  <c r="U14" i="2"/>
  <c r="R14" i="2"/>
  <c r="O14" i="2"/>
  <c r="L14" i="2"/>
  <c r="I14" i="2"/>
  <c r="A14" i="2"/>
  <c r="Y13" i="2"/>
  <c r="X13" i="2"/>
  <c r="W13" i="2"/>
  <c r="V13" i="2"/>
  <c r="U13" i="2"/>
  <c r="R13" i="2"/>
  <c r="O13" i="2"/>
  <c r="L13" i="2"/>
  <c r="I13" i="2"/>
  <c r="A13" i="2"/>
  <c r="Y12" i="2"/>
  <c r="X12" i="2"/>
  <c r="W12" i="2"/>
  <c r="V12" i="2"/>
  <c r="U12" i="2"/>
  <c r="R12" i="2"/>
  <c r="O12" i="2"/>
  <c r="L12" i="2"/>
  <c r="I12" i="2"/>
  <c r="A12" i="2"/>
  <c r="Y11" i="2"/>
  <c r="X11" i="2"/>
  <c r="W11" i="2"/>
  <c r="V11" i="2"/>
  <c r="U11" i="2"/>
  <c r="R11" i="2"/>
  <c r="O11" i="2"/>
  <c r="L11" i="2"/>
  <c r="I11" i="2"/>
  <c r="A11" i="2"/>
  <c r="Y10" i="2"/>
  <c r="X10" i="2"/>
  <c r="W10" i="2"/>
  <c r="V10" i="2"/>
  <c r="U10" i="2"/>
  <c r="R10" i="2"/>
  <c r="O10" i="2"/>
  <c r="L10" i="2"/>
  <c r="I10" i="2"/>
  <c r="A10" i="2"/>
  <c r="Y9" i="2"/>
  <c r="X9" i="2"/>
  <c r="W9" i="2"/>
  <c r="V9" i="2"/>
  <c r="U9" i="2"/>
  <c r="R9" i="2"/>
  <c r="O9" i="2"/>
  <c r="L9" i="2"/>
  <c r="I9" i="2"/>
  <c r="A9" i="2"/>
  <c r="Y8" i="2"/>
  <c r="X8" i="2"/>
  <c r="W8" i="2"/>
  <c r="V8" i="2"/>
  <c r="U8" i="2"/>
  <c r="R8" i="2"/>
  <c r="O8" i="2"/>
  <c r="L8" i="2"/>
  <c r="I8" i="2"/>
  <c r="A8" i="2"/>
  <c r="Y7" i="2"/>
  <c r="X7" i="2"/>
  <c r="W7" i="2"/>
  <c r="V7" i="2"/>
  <c r="U7" i="2"/>
  <c r="R7" i="2"/>
  <c r="O7" i="2"/>
  <c r="L7" i="2"/>
  <c r="I7" i="2"/>
  <c r="A7" i="2"/>
  <c r="V6" i="2"/>
  <c r="U6" i="2"/>
  <c r="R6" i="2"/>
  <c r="O6" i="2"/>
  <c r="L6" i="2"/>
  <c r="I6" i="2"/>
  <c r="X6" i="2" s="1"/>
  <c r="A6" i="2"/>
  <c r="Y5" i="2"/>
  <c r="X5" i="2"/>
  <c r="W5" i="2"/>
  <c r="V5" i="2"/>
  <c r="U5" i="2"/>
  <c r="R5" i="2"/>
  <c r="O5" i="2"/>
  <c r="L5" i="2"/>
  <c r="I5" i="2"/>
  <c r="A5" i="2"/>
  <c r="C12" i="1"/>
  <c r="B12" i="1"/>
  <c r="C11" i="1"/>
  <c r="B11" i="1"/>
  <c r="C10" i="1"/>
  <c r="B10" i="1"/>
  <c r="C9" i="1"/>
  <c r="B9" i="1"/>
  <c r="C8" i="1"/>
  <c r="B8" i="1"/>
  <c r="H4" i="1"/>
  <c r="Y6" i="2" l="1"/>
  <c r="W6" i="2"/>
  <c r="D10" i="1"/>
  <c r="E10" i="1" s="1"/>
  <c r="D11" i="1"/>
  <c r="E11" i="1" s="1"/>
  <c r="D8" i="1"/>
  <c r="E8" i="1" s="1"/>
  <c r="D12" i="1"/>
  <c r="E12" i="1" s="1"/>
  <c r="D9" i="1"/>
  <c r="E9" i="1" s="1"/>
  <c r="B13" i="1"/>
  <c r="C13" i="1"/>
  <c r="D13" i="1" s="1"/>
  <c r="E13" i="1" s="1"/>
  <c r="A15" i="1" s="1"/>
  <c r="C19" i="1" l="1"/>
  <c r="B19" i="1"/>
  <c r="A19" i="1"/>
  <c r="A20" i="1" l="1"/>
</calcChain>
</file>

<file path=xl/sharedStrings.xml><?xml version="1.0" encoding="utf-8"?>
<sst xmlns="http://schemas.openxmlformats.org/spreadsheetml/2006/main" count="130" uniqueCount="95">
  <si>
    <t>DATA QUALITY AUDIT DASHBOARD</t>
  </si>
  <si>
    <t>Filter by Project:</t>
  </si>
  <si>
    <t>(All Projects)</t>
  </si>
  <si>
    <t>Filter by Month:</t>
  </si>
  <si>
    <t>(All Months)</t>
  </si>
  <si>
    <t>Records in view:</t>
  </si>
  <si>
    <t>Score by Dimension</t>
  </si>
  <si>
    <t>Dimension</t>
  </si>
  <si>
    <t>Records
Checked</t>
  </si>
  <si>
    <t>Records
Compliant</t>
  </si>
  <si>
    <t>Score %</t>
  </si>
  <si>
    <t>Status</t>
  </si>
  <si>
    <t>Definition</t>
  </si>
  <si>
    <t>Accuracy</t>
  </si>
  <si>
    <t>Data correctly reflects the real-world person, event or object it describes (e.g. correct beneficiary name, correct GPS location, correct amount).</t>
  </si>
  <si>
    <t>Completeness</t>
  </si>
  <si>
    <t>All required fields/records are present - no missing values, missing forms, or missing records that should exist.</t>
  </si>
  <si>
    <t>Consistency</t>
  </si>
  <si>
    <t>Data agrees with itself across forms, registers, systems or reporting periods (e.g. same figure in the register and the report).</t>
  </si>
  <si>
    <t>Timeliness</t>
  </si>
  <si>
    <t>Data is captured, updated and reported within the expected/required timeframe, so it is current when used for decisions.</t>
  </si>
  <si>
    <t>Validity</t>
  </si>
  <si>
    <t>Data conforms to the required format, type, range or defined code list (e.g. valid date format, ID number length, valid category code).</t>
  </si>
  <si>
    <t>OVERALL</t>
  </si>
  <si>
    <t>Areas to Concentrate On (automatic)</t>
  </si>
  <si>
    <t>Chart: Score % by Dimension</t>
  </si>
  <si>
    <t>DATA QUALITY AUDIT - FIELD FINDINGS ENTRY</t>
  </si>
  <si>
    <t>Enter ONE ROW per audit visit. Fill only the light-yellow cells (B:F and the 'Checked' / 'Compliant' columns for each dimension). Everything else calculates automatically.</t>
  </si>
  <si>
    <t>Audit ID</t>
  </si>
  <si>
    <t>Project Name</t>
  </si>
  <si>
    <t>Month / Period</t>
  </si>
  <si>
    <t>Area / Facility / Site</t>
  </si>
  <si>
    <t>Auditor</t>
  </si>
  <si>
    <t>Audit Date</t>
  </si>
  <si>
    <t>ACCURACY</t>
  </si>
  <si>
    <t>COMPLETENESS</t>
  </si>
  <si>
    <t>CONSISTENCY</t>
  </si>
  <si>
    <t>TIMELINESS</t>
  </si>
  <si>
    <t>VALIDITY</t>
  </si>
  <si>
    <t>Overall
Score %</t>
  </si>
  <si>
    <t>Overall
Status</t>
  </si>
  <si>
    <t>(helper)</t>
  </si>
  <si>
    <t>Priority Areas
(auto)</t>
  </si>
  <si>
    <t># Checked</t>
  </si>
  <si>
    <t># Compliant</t>
  </si>
  <si>
    <t>Samalani Ana</t>
  </si>
  <si>
    <t>Jan-2026</t>
  </si>
  <si>
    <t>Lusaka District - Site 1</t>
  </si>
  <si>
    <t>J. Banda</t>
  </si>
  <si>
    <t>2026-01-15</t>
  </si>
  <si>
    <t>LEGEND &amp; SETTINGS</t>
  </si>
  <si>
    <t>The 5 Data Quality Dimensions</t>
  </si>
  <si>
    <t>RAG Thresholds (editable)</t>
  </si>
  <si>
    <t>Rule</t>
  </si>
  <si>
    <t>Threshold</t>
  </si>
  <si>
    <t>GREEN</t>
  </si>
  <si>
    <t>Score is at or above this value (Good)</t>
  </si>
  <si>
    <t>YELLOW</t>
  </si>
  <si>
    <t>Score is at or above this value, but below Green (Needs Improvement)</t>
  </si>
  <si>
    <t>ORANGE</t>
  </si>
  <si>
    <t>Score is at or above this value, but below Yellow (Significant Improvement Required)</t>
  </si>
  <si>
    <t>RED</t>
  </si>
  <si>
    <t>Anything below the Orange threshold (Critical)</t>
  </si>
  <si>
    <t>Project List (edit / add your projects)</t>
  </si>
  <si>
    <t>Sample Project A</t>
  </si>
  <si>
    <t>Sample Project B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</si>
  <si>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</si>
  <si>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</si>
  <si>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</si>
  <si>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</si>
  <si>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</si>
  <si>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</si>
  <si>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</si>
  <si>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</si>
  <si>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</si>
  <si>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</si>
  <si>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</si>
  <si>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Add more rows to either list if needed - just keep entries contiguous (no gaps) and extend the dropdown ranges in Data Entry / Dashboard (Data &gt; Data Validation) to match.</t>
  </si>
  <si>
    <t>DATA QUALITY AUDIT TOOL</t>
  </si>
  <si>
    <t>How to use this workbook</t>
  </si>
  <si>
    <t>1. Read the Legend sheet</t>
  </si>
  <si>
    <t>Check the 5 dimension definitions and the Green/Yellow/Red thresholds. Add your Project names and Month/Period labels to the lists provided - these feed the dropdowns used elsewhere in the workbook.</t>
  </si>
  <si>
    <t>2. Record findings in 'Data Entry'</t>
  </si>
  <si>
    <t>Every time you complete a field audit (one project, one area, one month), add ONE ROW. Fill in the blue-shaded cells only: Project, Month, Area, Auditor, Date, and for each of the 5 dimensions the number of records/items CHECKED and the number found COMPLIANT (i.e. correct/complete/consistent/timely/valid).</t>
  </si>
  <si>
    <t>3. Let the sheet calculate</t>
  </si>
  <si>
    <t>The % score, colour status (Green/Yellow/Orange/Red) and the row's 'Priority Areas' are all calculated automatically by formulas - do not type over the white/grey cells.</t>
  </si>
  <si>
    <t>4. Check the 'Dashboard' sheet</t>
  </si>
  <si>
    <t>Use the dropdowns to filter by Project and/or Month (or leave on '(All Projects)' / '(All Months)' for the overall picture). The dashboard shows the % score and RAG status per dimension, an overall status, a chart, and automatically lists the dimension(s) that need the most attention.</t>
  </si>
  <si>
    <t>5. Adjust thresholds if needed</t>
  </si>
  <si>
    <t>Go to Legend &gt; RAG Thresholds to change what counts as Green/Yellow/Orange/Red for your programme. All formulas in the workbook update automatically.</t>
  </si>
  <si>
    <t>Colour Legend</t>
  </si>
  <si>
    <t>Good - score at or above the Green threshold (default 85%)</t>
  </si>
  <si>
    <t>Needs improvement - score between the Yellow and Green thresholds (default 70-84%)</t>
  </si>
  <si>
    <t>Significant improvement required - score between the Orange and Yellow thresholds (default 55-69%)</t>
  </si>
  <si>
    <t>Critical - score below the Orange threshold (default under 55%)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</si>
</sst>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\-mm\-dd"/>
  </numFmts>
  <fonts count="18" x14ac:knownFonts="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i/>
      <sz val="11"/>
      <color rgb="FF1F4E78"/>
      <name val="Arial"/>
      <charset val="1"/>
    </font>
    <font>
      <b/>
      <sz val="11"/>
      <color rgb="FF2E75B6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7F7F7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i/>
      <sz val="9"/>
      <color rgb="FF1F4E78"/>
      <name val="Arial"/>
      <charset val="1"/>
    </font>
    <font>
      <sz val="10"/>
      <color rgb="FF000000"/>
      <name val="Arial"/>
      <charset val="1"/>
    </font>
    <font>
      <i/>
      <sz val="8"/>
      <color rgb="FF7F7F7F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2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1E7B34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E36C09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9F9F9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double">
        <color auto="1"/>
      </top>
      <bottom style="thin">
        <color rgb="FFB7B7B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1" xfId="0" applyFont="1" applyBorder="1"/>
    <xf numFmtId="9" fontId="10" fillId="9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0" fillId="9" borderId="1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168" fontId="10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center" wrapText="1"/>
    </xf>
    <xf numFmtId="0" fontId="13" fillId="0" borderId="0" xfId="0" applyFont="1"/>
    <xf numFmtId="0" fontId="5" fillId="3" borderId="0" xfId="0" applyFont="1" applyFill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57"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C00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E36C09"/>
        </patternFill>
      </fill>
    </dxf>
    <dxf>
      <font>
        <b/>
        <sz val="10"/>
        <color rgb="FF000000"/>
        <name val="Arial"/>
        <charset val="1"/>
        <scheme val="none"/>
      </font>
      <fill>
        <patternFill patternType="solid">
          <bgColor rgb="FFFFC000"/>
        </patternFill>
      </fill>
    </dxf>
    <dxf>
      <font>
        <b/>
        <sz val="10"/>
        <color rgb="FFFFFFFF"/>
        <name val="Arial"/>
        <charset val="1"/>
        <scheme val="none"/>
      </font>
      <fill>
        <patternFill patternType="solid">
          <bgColor rgb="FF1E7B3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7B34"/>
      <rgbColor rgb="00000080"/>
      <rgbColor rgb="00808000"/>
      <rgbColor rgb="00800080"/>
      <rgbColor rgb="00008080"/>
      <rgbColor rgb="00B7B7B7"/>
      <rgbColor rgb="007F7F7F"/>
      <rgbColor rgb="009999FF"/>
      <rgbColor rgb="00993366"/>
      <rgbColor rgb="00FFF2CC"/>
      <rgbColor rgb="00F9F9F9"/>
      <rgbColor rgb="00660066"/>
      <rgbColor rgb="00FF8080"/>
      <rgbColor rgb="002E75B6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E36C09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Quality Score by Dimension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Dashboard!$D$7</c:f>
              <c:strCache>
                <c:ptCount val="1"/>
                <c:pt idx="0">
                  <c:v>Score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Z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Dashboard!$A$8:$A$12</c:f>
              <c:strCache>
                <c:ptCount val="5"/>
                <c:pt idx="0">
                  <c:v>Accuracy</c:v>
                </c:pt>
                <c:pt idx="1">
                  <c:v>Completeness</c:v>
                </c:pt>
                <c:pt idx="2">
                  <c:v>Consistency</c:v>
                </c:pt>
                <c:pt idx="3">
                  <c:v>Timeliness</c:v>
                </c:pt>
                <c:pt idx="4">
                  <c:v>Validity</c:v>
                </c:pt>
              </c:strCache>
            </c:strRef>
          </c:cat>
          <c:val>
            <c:numRef>
              <c:f>Dashboard!$D$8:$D$12</c:f>
              <c:numCache>
                <c:formatCode>0%</c:formatCode>
                <c:ptCount val="5"/>
                <c:pt idx="0">
                  <c:v>0.92</c:v>
                </c:pt>
                <c:pt idx="1">
                  <c:v>0.82</c:v>
                </c:pt>
                <c:pt idx="2">
                  <c:v>0.96</c:v>
                </c:pt>
                <c:pt idx="3">
                  <c:v>0.66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0-4CDF-951D-0991EF9E0B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0211061"/>
        <c:axId val="44013616"/>
      </c:barChart>
      <c:catAx>
        <c:axId val="4021106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M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44013616"/>
        <c:crosses val="autoZero"/>
        <c:auto val="1"/>
        <c:lblAlgn val="ctr"/>
        <c:lblOffset val="100"/>
        <c:noMultiLvlLbl val="0"/>
      </c:catAx>
      <c:valAx>
        <c:axId val="44013616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M"/>
            </a:p>
          </c:txPr>
        </c:title>
        <c:numFmt formatCode="0%" sourceLinked="0"/>
        <c:majorTickMark val="none"/>
        <c:minorTickMark val="none"/>
        <c:tickLblPos val="nextTo"/>
        <c:crossAx val="402110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df910f-5210-4b5a-965d-2e3f1a80ce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Z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26</xdr:row>
      <xdr:rowOff>168910</xdr:rowOff>
    </xdr:from>
    <xdr:to>
      <xdr:col>4</xdr:col>
      <xdr:colOff>997020</xdr:colOff>
      <xdr:row>42</xdr:row>
      <xdr:rowOff>15880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zoomScale="90" zoomScaleNormal="90" workbookViewId="0">
      <pane ySplit="2" topLeftCell="A3" activePane="bottomLeft" state="frozen"/>
      <selection pane="bottomLeft" activeCell="A20" sqref="A20:H21"/>
    </sheetView>
  </sheetViews>
  <sheetFormatPr defaultColWidth="8.7109375" defaultRowHeight="15" x14ac:dyDescent="0.25"/>
  <cols>
    <col min="1" max="1" width="26" customWidth="1"/>
    <col min="2" max="3" width="20" customWidth="1"/>
    <col min="4" max="5" width="16" customWidth="1"/>
    <col min="6" max="7" width="14" customWidth="1"/>
    <col min="8" max="8" width="34" customWidth="1"/>
  </cols>
  <sheetData>
    <row r="1" spans="1:8" ht="30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4" spans="1:8" ht="25.5" x14ac:dyDescent="0.25">
      <c r="A4" s="24" t="s">
        <v>1</v>
      </c>
      <c r="B4" s="22" t="s">
        <v>2</v>
      </c>
      <c r="D4" s="24" t="s">
        <v>3</v>
      </c>
      <c r="E4" s="22" t="s">
        <v>4</v>
      </c>
      <c r="G4" s="25" t="s">
        <v>5</v>
      </c>
      <c r="H4" s="18">
        <f>COUNTIFS('Data Entry'!$B$5:$B$200,IF($B$4="(All Projects)","*",$B$4),'Data Entry'!$C$5:$C$200,IF($E$4="(All Months)","*",$E$4),'Data Entry'!$B$5:$B$200,"&lt;&gt;")</f>
        <v>1</v>
      </c>
    </row>
    <row r="6" spans="1:8" ht="19.5" customHeight="1" x14ac:dyDescent="0.25">
      <c r="A6" s="30" t="s">
        <v>6</v>
      </c>
      <c r="B6" s="30"/>
      <c r="C6" s="30"/>
      <c r="D6" s="30"/>
      <c r="E6" s="30"/>
      <c r="F6" s="30"/>
      <c r="G6" s="30"/>
      <c r="H6" s="30"/>
    </row>
    <row r="7" spans="1:8" ht="30" customHeight="1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31"/>
      <c r="G7" s="31"/>
      <c r="H7" s="5" t="s">
        <v>12</v>
      </c>
    </row>
    <row r="8" spans="1:8" ht="41.1" customHeight="1" x14ac:dyDescent="0.25">
      <c r="A8" s="18" t="s">
        <v>13</v>
      </c>
      <c r="B8" s="13">
        <f>SUMIFS('Data Entry'!$G$5:$G$200,'Data Entry'!$B$5:$B$200,IF($B$4="(All Projects)","*",$B$4),'Data Entry'!$C$5:$C$200,IF($E$4="(All Months)","*",$E$4))</f>
        <v>50</v>
      </c>
      <c r="C8" s="13">
        <f>SUMIFS('Data Entry'!$H$5:$H$200,'Data Entry'!$B$5:$B$200,IF($B$4="(All Projects)","*",$B$4),'Data Entry'!$C$5:$C$200,IF($E$4="(All Months)","*",$E$4))</f>
        <v>46</v>
      </c>
      <c r="D8" s="17">
        <f t="shared" ref="D8:D13" si="0">IFERROR(C8/B8,"")</f>
        <v>0.92</v>
      </c>
      <c r="E8" s="18" t="str">
        <f>IF(D8="","No data",IF(D8&gt;=Legend!$C$14,"GREEN",IF(D8&gt;=Legend!$C$15,"YELLOW",IF(D8&gt;=Legend!$C$16,"ORANGE","RED"))))</f>
        <v>GREEN</v>
      </c>
      <c r="F8" s="32"/>
      <c r="G8" s="32"/>
      <c r="H8" s="26" t="s">
        <v>14</v>
      </c>
    </row>
    <row r="9" spans="1:8" ht="51" customHeight="1" x14ac:dyDescent="0.25">
      <c r="A9" s="18" t="s">
        <v>15</v>
      </c>
      <c r="B9" s="13">
        <f>SUMIFS('Data Entry'!$J$5:$J$200,'Data Entry'!$B$5:$B$200,IF($B$4="(All Projects)","*",$B$4),'Data Entry'!$C$5:$C$200,IF($E$4="(All Months)","*",$E$4))</f>
        <v>50</v>
      </c>
      <c r="C9" s="13">
        <f>SUMIFS('Data Entry'!$K$5:$K$200,'Data Entry'!$B$5:$B$200,IF($B$4="(All Projects)","*",$B$4),'Data Entry'!$C$5:$C$200,IF($E$4="(All Months)","*",$E$4))</f>
        <v>41</v>
      </c>
      <c r="D9" s="17">
        <f t="shared" si="0"/>
        <v>0.82</v>
      </c>
      <c r="E9" s="18" t="str">
        <f>IF(D9="","No data",IF(D9&gt;=Legend!$C$14,"GREEN",IF(D9&gt;=Legend!$C$15,"YELLOW",IF(D9&gt;=Legend!$C$16,"ORANGE","RED"))))</f>
        <v>YELLOW</v>
      </c>
      <c r="F9" s="32"/>
      <c r="G9" s="32"/>
      <c r="H9" s="26" t="s">
        <v>16</v>
      </c>
    </row>
    <row r="10" spans="1:8" ht="33.950000000000003" customHeight="1" x14ac:dyDescent="0.25">
      <c r="A10" s="18" t="s">
        <v>17</v>
      </c>
      <c r="B10" s="13">
        <f>SUMIFS('Data Entry'!$M$5:$M$200,'Data Entry'!$B$5:$B$200,IF($B$4="(All Projects)","*",$B$4),'Data Entry'!$C$5:$C$200,IF($E$4="(All Months)","*",$E$4))</f>
        <v>50</v>
      </c>
      <c r="C10" s="13">
        <f>SUMIFS('Data Entry'!$N$5:$N$200,'Data Entry'!$B$5:$B$200,IF($B$4="(All Projects)","*",$B$4),'Data Entry'!$C$5:$C$200,IF($E$4="(All Months)","*",$E$4))</f>
        <v>48</v>
      </c>
      <c r="D10" s="17">
        <f t="shared" si="0"/>
        <v>0.96</v>
      </c>
      <c r="E10" s="18" t="str">
        <f>IF(D10="","No data",IF(D10&gt;=Legend!$C$14,"GREEN",IF(D10&gt;=Legend!$C$15,"YELLOW",IF(D10&gt;=Legend!$C$16,"ORANGE","RED"))))</f>
        <v>GREEN</v>
      </c>
      <c r="F10" s="32"/>
      <c r="G10" s="32"/>
      <c r="H10" s="26" t="s">
        <v>18</v>
      </c>
    </row>
    <row r="11" spans="1:8" ht="38.1" customHeight="1" x14ac:dyDescent="0.25">
      <c r="A11" s="18" t="s">
        <v>19</v>
      </c>
      <c r="B11" s="13">
        <f>SUMIFS('Data Entry'!$P$5:$P$200,'Data Entry'!$B$5:$B$200,IF($B$4="(All Projects)","*",$B$4),'Data Entry'!$C$5:$C$200,IF($E$4="(All Months)","*",$E$4))</f>
        <v>50</v>
      </c>
      <c r="C11" s="13">
        <f>SUMIFS('Data Entry'!$Q$5:$Q$200,'Data Entry'!$B$5:$B$200,IF($B$4="(All Projects)","*",$B$4),'Data Entry'!$C$5:$C$200,IF($E$4="(All Months)","*",$E$4))</f>
        <v>33</v>
      </c>
      <c r="D11" s="17">
        <f t="shared" si="0"/>
        <v>0.66</v>
      </c>
      <c r="E11" s="18" t="str">
        <f>IF(D11="","No data",IF(D11&gt;=Legend!$C$14,"GREEN",IF(D11&gt;=Legend!$C$15,"YELLOW",IF(D11&gt;=Legend!$C$16,"ORANGE","RED"))))</f>
        <v>ORANGE</v>
      </c>
      <c r="F11" s="32"/>
      <c r="G11" s="32"/>
      <c r="H11" s="26" t="s">
        <v>20</v>
      </c>
    </row>
    <row r="12" spans="1:8" ht="33.950000000000003" customHeight="1" x14ac:dyDescent="0.25">
      <c r="A12" s="18" t="s">
        <v>21</v>
      </c>
      <c r="B12" s="13">
        <f>SUMIFS('Data Entry'!$S$5:$S$200,'Data Entry'!$B$5:$B$200,IF($B$4="(All Projects)","*",$B$4),'Data Entry'!$C$5:$C$200,IF($E$4="(All Months)","*",$E$4))</f>
        <v>50</v>
      </c>
      <c r="C12" s="13">
        <f>SUMIFS('Data Entry'!$T$5:$T$200,'Data Entry'!$B$5:$B$200,IF($B$4="(All Projects)","*",$B$4),'Data Entry'!$C$5:$C$200,IF($E$4="(All Months)","*",$E$4))</f>
        <v>45</v>
      </c>
      <c r="D12" s="17">
        <f t="shared" si="0"/>
        <v>0.9</v>
      </c>
      <c r="E12" s="18" t="str">
        <f>IF(D12="","No data",IF(D12&gt;=Legend!$C$14,"GREEN",IF(D12&gt;=Legend!$C$15,"YELLOW",IF(D12&gt;=Legend!$C$16,"ORANGE","RED"))))</f>
        <v>GREEN</v>
      </c>
      <c r="F12" s="32"/>
      <c r="G12" s="32"/>
      <c r="H12" s="26" t="s">
        <v>22</v>
      </c>
    </row>
    <row r="13" spans="1:8" ht="23.1" customHeight="1" x14ac:dyDescent="0.25">
      <c r="A13" s="27" t="s">
        <v>23</v>
      </c>
      <c r="B13" s="27">
        <f>SUM(B8:B12)</f>
        <v>250</v>
      </c>
      <c r="C13" s="27">
        <f>SUM(C8:C12)</f>
        <v>213</v>
      </c>
      <c r="D13" s="28">
        <f t="shared" si="0"/>
        <v>0.85199999999999998</v>
      </c>
      <c r="E13" s="27" t="str">
        <f>IF(D13="","No data",IF(D13&gt;=Legend!$C$14,"GREEN",IF(D13&gt;=Legend!$C$15,"YELLOW",IF(D13&gt;=Legend!$C$16,"ORANGE","RED"))))</f>
        <v>GREEN</v>
      </c>
      <c r="F13" s="32"/>
      <c r="G13" s="32"/>
      <c r="H13" s="32"/>
    </row>
    <row r="15" spans="1:8" x14ac:dyDescent="0.25">
      <c r="A15" s="34" t="str">
        <f>"Overall Audit Status: "&amp;E13</f>
        <v>Overall Audit Status: GREEN</v>
      </c>
      <c r="B15" s="34"/>
      <c r="C15" s="34"/>
    </row>
    <row r="16" spans="1:8" x14ac:dyDescent="0.25">
      <c r="A16" s="34"/>
      <c r="B16" s="34"/>
      <c r="C16" s="34"/>
    </row>
    <row r="18" spans="1:8" ht="19.5" customHeight="1" x14ac:dyDescent="0.25">
      <c r="A18" s="30" t="s">
        <v>24</v>
      </c>
      <c r="B18" s="30"/>
      <c r="C18" s="30"/>
      <c r="D18" s="30"/>
      <c r="E18" s="30"/>
      <c r="F18" s="30"/>
      <c r="G18" s="30"/>
      <c r="H18" s="30"/>
    </row>
    <row r="19" spans="1:8" hidden="1" x14ac:dyDescent="0.25">
      <c r="A19" s="29" t="str">
        <f>IF(E8="RED","Accuracy, ","")&amp;IF(E9="RED","Completeness, ","")&amp;IF(E10="RED","Consistency, ","")&amp;IF(E11="RED","Timeliness, ","")&amp;IF(E12="RED","Validity, ","")</f>
        <v/>
      </c>
      <c r="B19" s="29" t="str">
        <f>IF(E8="ORANGE","Accuracy, ","")&amp;IF(E9="ORANGE","Completeness, ","")&amp;IF(E10="ORANGE","Consistency, ","")&amp;IF(E11="ORANGE","Timeliness, ","")&amp;IF(E12="ORANGE","Validity, ","")</f>
        <v xml:space="preserve">Timeliness, </v>
      </c>
      <c r="C19" s="29" t="str">
        <f>IF(E8="YELLOW","Accuracy, ","")&amp;IF(E9="YELLOW","Completeness, ","")&amp;IF(E10="YELLOW","Consistency, ","")&amp;IF(E11="YELLOW","Timeliness, ","")&amp;IF(E12="YELLOW","Validity, ","")</f>
        <v xml:space="preserve">Completeness, </v>
      </c>
    </row>
    <row r="20" spans="1:8" ht="21.75" customHeight="1" x14ac:dyDescent="0.25">
      <c r="A20" s="35" t="str">
        <f>IF(LEN(A19)&gt;0,"CRITICAL - urgent action needed on: "&amp;LEFT(A19,LEN(A19)-2)&amp;".",IF(LEN(B19)&gt;0,"Significant improvement required on: "&amp;LEFT(B19,LEN(B19)-2)&amp;".",IF(LEN(C19)&gt;0,"Needs improvement / monitor: "&amp;LEFT(C19,LEN(C19)-2)&amp;".",IF(H4=0,"No audit data yet for this selection - add rows in Data Entry.","All 5 dimensions are Green for this selection - maintain current standards."))))</f>
        <v>Significant improvement required on: Timeliness.</v>
      </c>
      <c r="B20" s="35"/>
      <c r="C20" s="35"/>
      <c r="D20" s="35"/>
      <c r="E20" s="35"/>
      <c r="F20" s="35"/>
      <c r="G20" s="35"/>
      <c r="H20" s="35"/>
    </row>
    <row r="21" spans="1:8" x14ac:dyDescent="0.25">
      <c r="A21" s="35"/>
      <c r="B21" s="35"/>
      <c r="C21" s="35"/>
      <c r="D21" s="35"/>
      <c r="E21" s="35"/>
      <c r="F21" s="35"/>
      <c r="G21" s="35"/>
      <c r="H21" s="35"/>
    </row>
    <row r="24" spans="1:8" ht="19.5" customHeight="1" x14ac:dyDescent="0.25">
      <c r="A24" s="30" t="s">
        <v>25</v>
      </c>
      <c r="B24" s="30"/>
      <c r="C24" s="30"/>
      <c r="D24" s="30"/>
      <c r="E24" s="30"/>
      <c r="F24" s="30"/>
      <c r="G24" s="30"/>
      <c r="H24" s="30"/>
    </row>
  </sheetData>
  <mergeCells count="13">
    <mergeCell ref="A1:H2"/>
    <mergeCell ref="A15:C16"/>
    <mergeCell ref="A20:H21"/>
    <mergeCell ref="F11:G11"/>
    <mergeCell ref="F12:G12"/>
    <mergeCell ref="F13:H13"/>
    <mergeCell ref="A18:H18"/>
    <mergeCell ref="A24:H24"/>
    <mergeCell ref="A6:H6"/>
    <mergeCell ref="F7:G7"/>
    <mergeCell ref="F8:G8"/>
    <mergeCell ref="F9:G9"/>
    <mergeCell ref="F10:G10"/>
  </mergeCells>
  <conditionalFormatting sqref="A15:C16">
    <cfRule type="expression" dxfId="39" priority="10">
      <formula>E13="GREEN"</formula>
    </cfRule>
    <cfRule type="expression" dxfId="38" priority="11">
      <formula>E13="YELLOW"</formula>
    </cfRule>
    <cfRule type="expression" dxfId="37" priority="12">
      <formula>E13="ORANGE"</formula>
    </cfRule>
    <cfRule type="expression" dxfId="36" priority="13">
      <formula>E13="RED"</formula>
    </cfRule>
  </conditionalFormatting>
  <conditionalFormatting sqref="A20:H21">
    <cfRule type="expression" dxfId="35" priority="14">
      <formula>LEN(A19)&gt;0</formula>
    </cfRule>
    <cfRule type="expression" dxfId="34" priority="15">
      <formula>AND(LEN(A19)=0,LEN(B19)&gt;0)</formula>
    </cfRule>
    <cfRule type="expression" dxfId="33" priority="16">
      <formula>AND(LEN(A19)=0,LEN(B19)=0,LEN(C19)&gt;0)</formula>
    </cfRule>
    <cfRule type="expression" dxfId="32" priority="17">
      <formula>AND(LEN(A19)=0,LEN(B19)=0,LEN(C19)=0,H4&gt;0)</formula>
    </cfRule>
  </conditionalFormatting>
  <conditionalFormatting sqref="E8:E13">
    <cfRule type="expression" dxfId="27" priority="6">
      <formula>E8="GREEN"</formula>
    </cfRule>
    <cfRule type="expression" dxfId="26" priority="7">
      <formula>E8="YELLOW"</formula>
    </cfRule>
    <cfRule type="expression" dxfId="25" priority="8">
      <formula>E8="ORANGE"</formula>
    </cfRule>
    <cfRule type="expression" dxfId="24" priority="9">
      <formula>E8="RED"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AND(D8&lt;&gt;"",D8&gt;=Legend!$C$14)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3" id="{00000000-000E-0000-0000-000003000000}">
            <xm:f>AND(D8&lt;&gt;"",D8&gt;=Legend!$C$15,D8&lt;Legend!$C$14)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4" id="{00000000-000E-0000-0000-000004000000}">
            <xm:f>AND(D8&lt;&gt;"",D8&gt;=Legend!$C$16,D8&lt;Legend!$C$15)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5" id="{00000000-000E-0000-0000-000005000000}">
            <xm:f>AND(D8&lt;&gt;"",D8&lt;Legend!$C$16)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D8:D13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Legend!$A$22:$A$36</xm:f>
          </x14:formula1>
          <xm:sqref>B4</xm:sqref>
        </x14:dataValidation>
        <x14:dataValidation type="list" allowBlank="1" xr:uid="{00000000-0002-0000-0000-000001000000}">
          <x14:formula1>
            <xm:f>Legend!$B$22:$B$34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0"/>
  <sheetViews>
    <sheetView showGridLines="0" tabSelected="1" zoomScale="90" zoomScaleNormal="90" workbookViewId="0">
      <pane xSplit="6" ySplit="4" topLeftCell="G5" activePane="bottomRight" state="frozen"/>
      <selection pane="topRight"/>
      <selection pane="bottomLeft"/>
      <selection pane="bottomRight" activeCell="E11" sqref="E11"/>
    </sheetView>
  </sheetViews>
  <sheetFormatPr defaultColWidth="8.7109375" defaultRowHeight="15" x14ac:dyDescent="0.25"/>
  <cols>
    <col min="1" max="1" width="11" customWidth="1"/>
    <col min="2" max="2" width="20" customWidth="1"/>
    <col min="3" max="3" width="14" customWidth="1"/>
    <col min="4" max="4" width="21" bestFit="1" customWidth="1"/>
    <col min="5" max="5" width="14" customWidth="1"/>
    <col min="6" max="6" width="13" customWidth="1"/>
    <col min="7" max="7" width="11" customWidth="1"/>
    <col min="8" max="8" width="12" customWidth="1"/>
    <col min="9" max="9" width="10" customWidth="1"/>
    <col min="10" max="10" width="11" customWidth="1"/>
    <col min="11" max="11" width="12" customWidth="1"/>
    <col min="12" max="12" width="10" customWidth="1"/>
    <col min="13" max="13" width="11" customWidth="1"/>
    <col min="14" max="14" width="12" customWidth="1"/>
    <col min="15" max="15" width="10" customWidth="1"/>
    <col min="16" max="16" width="11" customWidth="1"/>
    <col min="17" max="17" width="12" customWidth="1"/>
    <col min="18" max="18" width="10" customWidth="1"/>
    <col min="19" max="19" width="11" customWidth="1"/>
    <col min="20" max="20" width="12" customWidth="1"/>
    <col min="21" max="21" width="10" customWidth="1"/>
    <col min="22" max="23" width="12" customWidth="1"/>
    <col min="24" max="24" width="8" hidden="1" customWidth="1"/>
    <col min="25" max="25" width="34" customWidth="1"/>
  </cols>
  <sheetData>
    <row r="1" spans="1:25" ht="25.5" customHeight="1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25.5" customHeight="1" x14ac:dyDescent="0.25">
      <c r="A2" s="36" t="s">
        <v>27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60" customHeight="1" x14ac:dyDescent="0.25">
      <c r="A3" s="38" t="s">
        <v>28</v>
      </c>
      <c r="B3" s="38" t="s">
        <v>29</v>
      </c>
      <c r="C3" s="38" t="s">
        <v>30</v>
      </c>
      <c r="D3" s="38" t="s">
        <v>31</v>
      </c>
      <c r="E3" s="38" t="s">
        <v>32</v>
      </c>
      <c r="F3" s="38" t="s">
        <v>33</v>
      </c>
      <c r="G3" s="37" t="s">
        <v>34</v>
      </c>
      <c r="H3" s="37"/>
      <c r="I3" s="37"/>
      <c r="J3" s="37" t="s">
        <v>35</v>
      </c>
      <c r="K3" s="37"/>
      <c r="L3" s="37"/>
      <c r="M3" s="37" t="s">
        <v>36</v>
      </c>
      <c r="N3" s="37"/>
      <c r="O3" s="37"/>
      <c r="P3" s="37" t="s">
        <v>37</v>
      </c>
      <c r="Q3" s="37"/>
      <c r="R3" s="37"/>
      <c r="S3" s="37" t="s">
        <v>38</v>
      </c>
      <c r="T3" s="37"/>
      <c r="U3" s="37"/>
      <c r="V3" s="38" t="s">
        <v>39</v>
      </c>
      <c r="W3" s="38" t="s">
        <v>40</v>
      </c>
      <c r="X3" s="38" t="s">
        <v>41</v>
      </c>
      <c r="Y3" s="38" t="s">
        <v>42</v>
      </c>
    </row>
    <row r="4" spans="1:25" ht="27.75" customHeight="1" x14ac:dyDescent="0.25">
      <c r="A4" s="38"/>
      <c r="B4" s="38"/>
      <c r="C4" s="38"/>
      <c r="D4" s="38"/>
      <c r="E4" s="38"/>
      <c r="F4" s="38"/>
      <c r="G4" s="5" t="s">
        <v>43</v>
      </c>
      <c r="H4" s="5" t="s">
        <v>44</v>
      </c>
      <c r="I4" s="5" t="s">
        <v>10</v>
      </c>
      <c r="J4" s="5" t="s">
        <v>43</v>
      </c>
      <c r="K4" s="5" t="s">
        <v>44</v>
      </c>
      <c r="L4" s="5" t="s">
        <v>10</v>
      </c>
      <c r="M4" s="5" t="s">
        <v>43</v>
      </c>
      <c r="N4" s="5" t="s">
        <v>44</v>
      </c>
      <c r="O4" s="5" t="s">
        <v>10</v>
      </c>
      <c r="P4" s="5" t="s">
        <v>43</v>
      </c>
      <c r="Q4" s="5" t="s">
        <v>44</v>
      </c>
      <c r="R4" s="5" t="s">
        <v>10</v>
      </c>
      <c r="S4" s="5" t="s">
        <v>43</v>
      </c>
      <c r="T4" s="5" t="s">
        <v>44</v>
      </c>
      <c r="U4" s="5" t="s">
        <v>10</v>
      </c>
      <c r="V4" s="38"/>
      <c r="W4" s="38"/>
      <c r="X4" s="38"/>
      <c r="Y4" s="38"/>
    </row>
    <row r="5" spans="1:25" ht="15.75" customHeight="1" x14ac:dyDescent="0.25">
      <c r="A5" s="11" t="str">
        <f>"AUD-"&amp;TEXT(ROW()-4,"000")</f>
        <v>AUD-001</v>
      </c>
      <c r="B5" s="12" t="s">
        <v>45</v>
      </c>
      <c r="C5" s="12" t="s">
        <v>46</v>
      </c>
      <c r="D5" s="13" t="s">
        <v>47</v>
      </c>
      <c r="E5" s="13" t="s">
        <v>48</v>
      </c>
      <c r="F5" s="14" t="s">
        <v>49</v>
      </c>
      <c r="G5" s="15">
        <v>50</v>
      </c>
      <c r="H5" s="15">
        <v>46</v>
      </c>
      <c r="I5" s="16">
        <f t="shared" ref="I5:I68" si="0">IFERROR(H5/G5,"")</f>
        <v>0.92</v>
      </c>
      <c r="J5" s="15">
        <v>50</v>
      </c>
      <c r="K5" s="15">
        <v>41</v>
      </c>
      <c r="L5" s="16">
        <f t="shared" ref="L5:L68" si="1">IFERROR(K5/J5,"")</f>
        <v>0.82</v>
      </c>
      <c r="M5" s="15">
        <v>50</v>
      </c>
      <c r="N5" s="15">
        <v>48</v>
      </c>
      <c r="O5" s="16">
        <f t="shared" ref="O5:O68" si="2">IFERROR(N5/M5,"")</f>
        <v>0.96</v>
      </c>
      <c r="P5" s="15">
        <v>50</v>
      </c>
      <c r="Q5" s="15">
        <v>33</v>
      </c>
      <c r="R5" s="16">
        <f t="shared" ref="R5:R68" si="3">IFERROR(Q5/P5,"")</f>
        <v>0.66</v>
      </c>
      <c r="S5" s="15">
        <v>50</v>
      </c>
      <c r="T5" s="15">
        <v>45</v>
      </c>
      <c r="U5" s="16">
        <f t="shared" ref="U5:U68" si="4">IFERROR(T5/S5,"")</f>
        <v>0.9</v>
      </c>
      <c r="V5" s="17">
        <f t="shared" ref="V5:V68" si="5">IFERROR(AVERAGE(I5,L5,O5,R5,U5),"")</f>
        <v>0.85199999999999998</v>
      </c>
      <c r="W5" s="18" t="str">
        <f>IF(V5="","",IF(V5&gt;=Legend!$C$14,"GREEN",IF(V5&gt;=Legend!$C$15,"YELLOW",IF(V5&gt;=Legend!$C$16,"ORANGE","RED"))))</f>
        <v>GREEN</v>
      </c>
      <c r="X5" s="19" t="str">
        <f>IF(AND(I5&lt;&gt;"",I5&lt;Legend!$C$14),"Accuracy, ","")&amp;IF(AND(L5&lt;&gt;"",L5&lt;Legend!$C$14),"Completeness, ","")&amp;IF(AND(O5&lt;&gt;"",O5&lt;Legend!$C$14),"Consistency, ","")&amp;IF(AND(R5&lt;&gt;"",R5&lt;Legend!$C$14),"Timeliness, ","")&amp;IF(AND(U5&lt;&gt;"",U5&lt;Legend!$C$14),"Validity, ","")</f>
        <v>Completeness, Timeliness,</v>
      </c>
      <c r="Y5" s="20" t="str">
        <f t="shared" ref="Y5:Y68" si="6">IF(V5="","",IF(LEN(X5)=0,"All dimensions on target",LEFT(X5,LEN(X5)-2)))</f>
        <v>Completeness, Timeliness</v>
      </c>
    </row>
    <row r="6" spans="1:25" ht="15.75" customHeight="1" x14ac:dyDescent="0.25">
      <c r="A6" s="11" t="str">
        <f t="shared" ref="A6:A69" si="7">IF($B6="","",""&amp;"AUD-"&amp;TEXT(ROW()-4,"000"))</f>
        <v/>
      </c>
      <c r="B6" s="21"/>
      <c r="C6" s="21"/>
      <c r="D6" s="22"/>
      <c r="E6" s="22"/>
      <c r="F6" s="23"/>
      <c r="G6" s="22"/>
      <c r="H6" s="22"/>
      <c r="I6" s="16" t="str">
        <f t="shared" si="0"/>
        <v/>
      </c>
      <c r="J6" s="22"/>
      <c r="K6" s="22"/>
      <c r="L6" s="16" t="str">
        <f t="shared" si="1"/>
        <v/>
      </c>
      <c r="M6" s="22"/>
      <c r="N6" s="22"/>
      <c r="O6" s="16" t="str">
        <f t="shared" si="2"/>
        <v/>
      </c>
      <c r="P6" s="22"/>
      <c r="Q6" s="22"/>
      <c r="R6" s="16" t="str">
        <f t="shared" si="3"/>
        <v/>
      </c>
      <c r="S6" s="22"/>
      <c r="T6" s="22"/>
      <c r="U6" s="16" t="str">
        <f t="shared" si="4"/>
        <v/>
      </c>
      <c r="V6" s="17" t="str">
        <f t="shared" si="5"/>
        <v/>
      </c>
      <c r="W6" s="18" t="str">
        <f>IF(V6="","",IF(V6&gt;=Legend!$C$14,"GREEN",IF(V6&gt;=Legend!$C$15,"YELLOW",IF(V6&gt;=Legend!$C$16,"ORANGE","RED"))))</f>
        <v/>
      </c>
      <c r="X6" s="19" t="str">
        <f>IF(AND(I6&lt;&gt;"",I6&lt;Legend!$C$14),"Accuracy, ","")&amp;IF(AND(L6&lt;&gt;"",L6&lt;Legend!$C$14),"Completeness, ","")&amp;IF(AND(O6&lt;&gt;"",O6&lt;Legend!$C$14),"Consistency, ","")&amp;IF(AND(R6&lt;&gt;"",R6&lt;Legend!$C$14),"Timeliness, ","")&amp;IF(AND(U6&lt;&gt;"",U6&lt;Legend!$C$14),"Validity, ","")</f>
        <v/>
      </c>
      <c r="Y6" s="20" t="str">
        <f t="shared" si="6"/>
        <v/>
      </c>
    </row>
    <row r="7" spans="1:25" ht="15.75" customHeight="1" x14ac:dyDescent="0.25">
      <c r="A7" s="11" t="str">
        <f t="shared" si="7"/>
        <v/>
      </c>
      <c r="B7" s="21"/>
      <c r="C7" s="21"/>
      <c r="D7" s="22"/>
      <c r="E7" s="22"/>
      <c r="F7" s="23"/>
      <c r="G7" s="22"/>
      <c r="H7" s="22"/>
      <c r="I7" s="16" t="str">
        <f t="shared" si="0"/>
        <v/>
      </c>
      <c r="J7" s="22"/>
      <c r="K7" s="22"/>
      <c r="L7" s="16" t="str">
        <f t="shared" si="1"/>
        <v/>
      </c>
      <c r="M7" s="22"/>
      <c r="N7" s="22"/>
      <c r="O7" s="16" t="str">
        <f t="shared" si="2"/>
        <v/>
      </c>
      <c r="P7" s="22"/>
      <c r="Q7" s="22"/>
      <c r="R7" s="16" t="str">
        <f t="shared" si="3"/>
        <v/>
      </c>
      <c r="S7" s="22"/>
      <c r="T7" s="22"/>
      <c r="U7" s="16" t="str">
        <f t="shared" si="4"/>
        <v/>
      </c>
      <c r="V7" s="17" t="str">
        <f t="shared" si="5"/>
        <v/>
      </c>
      <c r="W7" s="18" t="str">
        <f>IF(V7="","",IF(V7&gt;=Legend!$C$14,"GREEN",IF(V7&gt;=Legend!$C$15,"YELLOW",IF(V7&gt;=Legend!$C$16,"ORANGE","RED"))))</f>
        <v/>
      </c>
      <c r="X7" s="19" t="str">
        <f>IF(AND(I7&lt;&gt;"",I7&lt;Legend!$C$14),"Accuracy, ","")&amp;IF(AND(L7&lt;&gt;"",L7&lt;Legend!$C$14),"Completeness, ","")&amp;IF(AND(O7&lt;&gt;"",O7&lt;Legend!$C$14),"Consistency, ","")&amp;IF(AND(R7&lt;&gt;"",R7&lt;Legend!$C$14),"Timeliness, ","")&amp;IF(AND(U7&lt;&gt;"",U7&lt;Legend!$C$14),"Validity, ","")</f>
        <v/>
      </c>
      <c r="Y7" s="20" t="str">
        <f t="shared" si="6"/>
        <v/>
      </c>
    </row>
    <row r="8" spans="1:25" ht="15.75" customHeight="1" x14ac:dyDescent="0.25">
      <c r="A8" s="11" t="str">
        <f t="shared" si="7"/>
        <v/>
      </c>
      <c r="B8" s="21"/>
      <c r="C8" s="21"/>
      <c r="D8" s="22"/>
      <c r="E8" s="22"/>
      <c r="F8" s="23"/>
      <c r="G8" s="22"/>
      <c r="H8" s="22"/>
      <c r="I8" s="16" t="str">
        <f t="shared" si="0"/>
        <v/>
      </c>
      <c r="J8" s="22"/>
      <c r="K8" s="22"/>
      <c r="L8" s="16" t="str">
        <f t="shared" si="1"/>
        <v/>
      </c>
      <c r="M8" s="22"/>
      <c r="N8" s="22"/>
      <c r="O8" s="16" t="str">
        <f t="shared" si="2"/>
        <v/>
      </c>
      <c r="P8" s="22"/>
      <c r="Q8" s="22"/>
      <c r="R8" s="16" t="str">
        <f t="shared" si="3"/>
        <v/>
      </c>
      <c r="S8" s="22"/>
      <c r="T8" s="22"/>
      <c r="U8" s="16" t="str">
        <f t="shared" si="4"/>
        <v/>
      </c>
      <c r="V8" s="17" t="str">
        <f t="shared" si="5"/>
        <v/>
      </c>
      <c r="W8" s="18" t="str">
        <f>IF(V8="","",IF(V8&gt;=Legend!$C$14,"GREEN",IF(V8&gt;=Legend!$C$15,"YELLOW",IF(V8&gt;=Legend!$C$16,"ORANGE","RED"))))</f>
        <v/>
      </c>
      <c r="X8" s="19" t="str">
        <f>IF(AND(I8&lt;&gt;"",I8&lt;Legend!$C$14),"Accuracy, ","")&amp;IF(AND(L8&lt;&gt;"",L8&lt;Legend!$C$14),"Completeness, ","")&amp;IF(AND(O8&lt;&gt;"",O8&lt;Legend!$C$14),"Consistency, ","")&amp;IF(AND(R8&lt;&gt;"",R8&lt;Legend!$C$14),"Timeliness, ","")&amp;IF(AND(U8&lt;&gt;"",U8&lt;Legend!$C$14),"Validity, ","")</f>
        <v/>
      </c>
      <c r="Y8" s="20" t="str">
        <f t="shared" si="6"/>
        <v/>
      </c>
    </row>
    <row r="9" spans="1:25" ht="15.75" customHeight="1" x14ac:dyDescent="0.25">
      <c r="A9" s="11" t="str">
        <f t="shared" si="7"/>
        <v/>
      </c>
      <c r="B9" s="21"/>
      <c r="C9" s="21"/>
      <c r="D9" s="22"/>
      <c r="E9" s="22"/>
      <c r="F9" s="23"/>
      <c r="G9" s="22"/>
      <c r="H9" s="22"/>
      <c r="I9" s="16" t="str">
        <f t="shared" si="0"/>
        <v/>
      </c>
      <c r="J9" s="22"/>
      <c r="K9" s="22"/>
      <c r="L9" s="16" t="str">
        <f t="shared" si="1"/>
        <v/>
      </c>
      <c r="M9" s="22"/>
      <c r="N9" s="22"/>
      <c r="O9" s="16" t="str">
        <f t="shared" si="2"/>
        <v/>
      </c>
      <c r="P9" s="22"/>
      <c r="Q9" s="22"/>
      <c r="R9" s="16" t="str">
        <f t="shared" si="3"/>
        <v/>
      </c>
      <c r="S9" s="22"/>
      <c r="T9" s="22"/>
      <c r="U9" s="16" t="str">
        <f t="shared" si="4"/>
        <v/>
      </c>
      <c r="V9" s="17" t="str">
        <f t="shared" si="5"/>
        <v/>
      </c>
      <c r="W9" s="18" t="str">
        <f>IF(V9="","",IF(V9&gt;=Legend!$C$14,"GREEN",IF(V9&gt;=Legend!$C$15,"YELLOW",IF(V9&gt;=Legend!$C$16,"ORANGE","RED"))))</f>
        <v/>
      </c>
      <c r="X9" s="19" t="str">
        <f>IF(AND(I9&lt;&gt;"",I9&lt;Legend!$C$14),"Accuracy, ","")&amp;IF(AND(L9&lt;&gt;"",L9&lt;Legend!$C$14),"Completeness, ","")&amp;IF(AND(O9&lt;&gt;"",O9&lt;Legend!$C$14),"Consistency, ","")&amp;IF(AND(R9&lt;&gt;"",R9&lt;Legend!$C$14),"Timeliness, ","")&amp;IF(AND(U9&lt;&gt;"",U9&lt;Legend!$C$14),"Validity, ","")</f>
        <v/>
      </c>
      <c r="Y9" s="20" t="str">
        <f t="shared" si="6"/>
        <v/>
      </c>
    </row>
    <row r="10" spans="1:25" ht="15.75" customHeight="1" x14ac:dyDescent="0.25">
      <c r="A10" s="11" t="str">
        <f t="shared" si="7"/>
        <v/>
      </c>
      <c r="B10" s="21"/>
      <c r="C10" s="21"/>
      <c r="D10" s="22"/>
      <c r="E10" s="22"/>
      <c r="F10" s="23"/>
      <c r="G10" s="22"/>
      <c r="H10" s="22"/>
      <c r="I10" s="16" t="str">
        <f t="shared" si="0"/>
        <v/>
      </c>
      <c r="J10" s="22"/>
      <c r="K10" s="22"/>
      <c r="L10" s="16" t="str">
        <f t="shared" si="1"/>
        <v/>
      </c>
      <c r="M10" s="22"/>
      <c r="N10" s="22"/>
      <c r="O10" s="16" t="str">
        <f t="shared" si="2"/>
        <v/>
      </c>
      <c r="P10" s="22"/>
      <c r="Q10" s="22"/>
      <c r="R10" s="16" t="str">
        <f t="shared" si="3"/>
        <v/>
      </c>
      <c r="S10" s="22"/>
      <c r="T10" s="22"/>
      <c r="U10" s="16" t="str">
        <f t="shared" si="4"/>
        <v/>
      </c>
      <c r="V10" s="17" t="str">
        <f t="shared" si="5"/>
        <v/>
      </c>
      <c r="W10" s="18" t="str">
        <f>IF(V10="","",IF(V10&gt;=Legend!$C$14,"GREEN",IF(V10&gt;=Legend!$C$15,"YELLOW",IF(V10&gt;=Legend!$C$16,"ORANGE","RED"))))</f>
        <v/>
      </c>
      <c r="X10" s="19" t="str">
        <f>IF(AND(I10&lt;&gt;"",I10&lt;Legend!$C$14),"Accuracy, ","")&amp;IF(AND(L10&lt;&gt;"",L10&lt;Legend!$C$14),"Completeness, ","")&amp;IF(AND(O10&lt;&gt;"",O10&lt;Legend!$C$14),"Consistency, ","")&amp;IF(AND(R10&lt;&gt;"",R10&lt;Legend!$C$14),"Timeliness, ","")&amp;IF(AND(U10&lt;&gt;"",U10&lt;Legend!$C$14),"Validity, ","")</f>
        <v/>
      </c>
      <c r="Y10" s="20" t="str">
        <f t="shared" si="6"/>
        <v/>
      </c>
    </row>
    <row r="11" spans="1:25" ht="15.75" customHeight="1" x14ac:dyDescent="0.25">
      <c r="A11" s="11" t="str">
        <f t="shared" si="7"/>
        <v/>
      </c>
      <c r="B11" s="21"/>
      <c r="C11" s="21"/>
      <c r="D11" s="22"/>
      <c r="E11" s="22"/>
      <c r="F11" s="23"/>
      <c r="G11" s="22"/>
      <c r="H11" s="22"/>
      <c r="I11" s="16" t="str">
        <f t="shared" si="0"/>
        <v/>
      </c>
      <c r="J11" s="22"/>
      <c r="K11" s="22"/>
      <c r="L11" s="16" t="str">
        <f t="shared" si="1"/>
        <v/>
      </c>
      <c r="M11" s="22"/>
      <c r="N11" s="22"/>
      <c r="O11" s="16" t="str">
        <f t="shared" si="2"/>
        <v/>
      </c>
      <c r="P11" s="22"/>
      <c r="Q11" s="22"/>
      <c r="R11" s="16" t="str">
        <f t="shared" si="3"/>
        <v/>
      </c>
      <c r="S11" s="22"/>
      <c r="T11" s="22"/>
      <c r="U11" s="16" t="str">
        <f t="shared" si="4"/>
        <v/>
      </c>
      <c r="V11" s="17" t="str">
        <f t="shared" si="5"/>
        <v/>
      </c>
      <c r="W11" s="18" t="str">
        <f>IF(V11="","",IF(V11&gt;=Legend!$C$14,"GREEN",IF(V11&gt;=Legend!$C$15,"YELLOW",IF(V11&gt;=Legend!$C$16,"ORANGE","RED"))))</f>
        <v/>
      </c>
      <c r="X11" s="19" t="str">
        <f>IF(AND(I11&lt;&gt;"",I11&lt;Legend!$C$14),"Accuracy, ","")&amp;IF(AND(L11&lt;&gt;"",L11&lt;Legend!$C$14),"Completeness, ","")&amp;IF(AND(O11&lt;&gt;"",O11&lt;Legend!$C$14),"Consistency, ","")&amp;IF(AND(R11&lt;&gt;"",R11&lt;Legend!$C$14),"Timeliness, ","")&amp;IF(AND(U11&lt;&gt;"",U11&lt;Legend!$C$14),"Validity, ","")</f>
        <v/>
      </c>
      <c r="Y11" s="20" t="str">
        <f t="shared" si="6"/>
        <v/>
      </c>
    </row>
    <row r="12" spans="1:25" ht="15.75" customHeight="1" x14ac:dyDescent="0.25">
      <c r="A12" s="11" t="str">
        <f t="shared" si="7"/>
        <v/>
      </c>
      <c r="B12" s="21"/>
      <c r="C12" s="21"/>
      <c r="D12" s="22"/>
      <c r="E12" s="22"/>
      <c r="F12" s="23"/>
      <c r="G12" s="22"/>
      <c r="H12" s="22"/>
      <c r="I12" s="16" t="str">
        <f t="shared" si="0"/>
        <v/>
      </c>
      <c r="J12" s="22"/>
      <c r="K12" s="22"/>
      <c r="L12" s="16" t="str">
        <f t="shared" si="1"/>
        <v/>
      </c>
      <c r="M12" s="22"/>
      <c r="N12" s="22"/>
      <c r="O12" s="16" t="str">
        <f t="shared" si="2"/>
        <v/>
      </c>
      <c r="P12" s="22"/>
      <c r="Q12" s="22"/>
      <c r="R12" s="16" t="str">
        <f t="shared" si="3"/>
        <v/>
      </c>
      <c r="S12" s="22"/>
      <c r="T12" s="22"/>
      <c r="U12" s="16" t="str">
        <f t="shared" si="4"/>
        <v/>
      </c>
      <c r="V12" s="17" t="str">
        <f t="shared" si="5"/>
        <v/>
      </c>
      <c r="W12" s="18" t="str">
        <f>IF(V12="","",IF(V12&gt;=Legend!$C$14,"GREEN",IF(V12&gt;=Legend!$C$15,"YELLOW",IF(V12&gt;=Legend!$C$16,"ORANGE","RED"))))</f>
        <v/>
      </c>
      <c r="X12" s="19" t="str">
        <f>IF(AND(I12&lt;&gt;"",I12&lt;Legend!$C$14),"Accuracy, ","")&amp;IF(AND(L12&lt;&gt;"",L12&lt;Legend!$C$14),"Completeness, ","")&amp;IF(AND(O12&lt;&gt;"",O12&lt;Legend!$C$14),"Consistency, ","")&amp;IF(AND(R12&lt;&gt;"",R12&lt;Legend!$C$14),"Timeliness, ","")&amp;IF(AND(U12&lt;&gt;"",U12&lt;Legend!$C$14),"Validity, ","")</f>
        <v/>
      </c>
      <c r="Y12" s="20" t="str">
        <f t="shared" si="6"/>
        <v/>
      </c>
    </row>
    <row r="13" spans="1:25" ht="15.75" customHeight="1" x14ac:dyDescent="0.25">
      <c r="A13" s="11" t="str">
        <f t="shared" si="7"/>
        <v/>
      </c>
      <c r="B13" s="21"/>
      <c r="C13" s="21"/>
      <c r="D13" s="22"/>
      <c r="E13" s="22"/>
      <c r="F13" s="23"/>
      <c r="G13" s="22"/>
      <c r="H13" s="22"/>
      <c r="I13" s="16" t="str">
        <f t="shared" si="0"/>
        <v/>
      </c>
      <c r="J13" s="22"/>
      <c r="K13" s="22"/>
      <c r="L13" s="16" t="str">
        <f t="shared" si="1"/>
        <v/>
      </c>
      <c r="M13" s="22"/>
      <c r="N13" s="22"/>
      <c r="O13" s="16" t="str">
        <f t="shared" si="2"/>
        <v/>
      </c>
      <c r="P13" s="22"/>
      <c r="Q13" s="22"/>
      <c r="R13" s="16" t="str">
        <f t="shared" si="3"/>
        <v/>
      </c>
      <c r="S13" s="22"/>
      <c r="T13" s="22"/>
      <c r="U13" s="16" t="str">
        <f t="shared" si="4"/>
        <v/>
      </c>
      <c r="V13" s="17" t="str">
        <f t="shared" si="5"/>
        <v/>
      </c>
      <c r="W13" s="18" t="str">
        <f>IF(V13="","",IF(V13&gt;=Legend!$C$14,"GREEN",IF(V13&gt;=Legend!$C$15,"YELLOW",IF(V13&gt;=Legend!$C$16,"ORANGE","RED"))))</f>
        <v/>
      </c>
      <c r="X13" s="19" t="str">
        <f>IF(AND(I13&lt;&gt;"",I13&lt;Legend!$C$14),"Accuracy, ","")&amp;IF(AND(L13&lt;&gt;"",L13&lt;Legend!$C$14),"Completeness, ","")&amp;IF(AND(O13&lt;&gt;"",O13&lt;Legend!$C$14),"Consistency, ","")&amp;IF(AND(R13&lt;&gt;"",R13&lt;Legend!$C$14),"Timeliness, ","")&amp;IF(AND(U13&lt;&gt;"",U13&lt;Legend!$C$14),"Validity, ","")</f>
        <v/>
      </c>
      <c r="Y13" s="20" t="str">
        <f t="shared" si="6"/>
        <v/>
      </c>
    </row>
    <row r="14" spans="1:25" ht="15.75" customHeight="1" x14ac:dyDescent="0.25">
      <c r="A14" s="11" t="str">
        <f t="shared" si="7"/>
        <v/>
      </c>
      <c r="B14" s="21"/>
      <c r="C14" s="21"/>
      <c r="D14" s="22"/>
      <c r="E14" s="22"/>
      <c r="F14" s="23"/>
      <c r="G14" s="22"/>
      <c r="H14" s="22"/>
      <c r="I14" s="16" t="str">
        <f t="shared" si="0"/>
        <v/>
      </c>
      <c r="J14" s="22"/>
      <c r="K14" s="22"/>
      <c r="L14" s="16" t="str">
        <f t="shared" si="1"/>
        <v/>
      </c>
      <c r="M14" s="22"/>
      <c r="N14" s="22"/>
      <c r="O14" s="16" t="str">
        <f t="shared" si="2"/>
        <v/>
      </c>
      <c r="P14" s="22"/>
      <c r="Q14" s="22"/>
      <c r="R14" s="16" t="str">
        <f t="shared" si="3"/>
        <v/>
      </c>
      <c r="S14" s="22"/>
      <c r="T14" s="22"/>
      <c r="U14" s="16" t="str">
        <f t="shared" si="4"/>
        <v/>
      </c>
      <c r="V14" s="17" t="str">
        <f t="shared" si="5"/>
        <v/>
      </c>
      <c r="W14" s="18" t="str">
        <f>IF(V14="","",IF(V14&gt;=Legend!$C$14,"GREEN",IF(V14&gt;=Legend!$C$15,"YELLOW",IF(V14&gt;=Legend!$C$16,"ORANGE","RED"))))</f>
        <v/>
      </c>
      <c r="X14" s="19" t="str">
        <f>IF(AND(I14&lt;&gt;"",I14&lt;Legend!$C$14),"Accuracy, ","")&amp;IF(AND(L14&lt;&gt;"",L14&lt;Legend!$C$14),"Completeness, ","")&amp;IF(AND(O14&lt;&gt;"",O14&lt;Legend!$C$14),"Consistency, ","")&amp;IF(AND(R14&lt;&gt;"",R14&lt;Legend!$C$14),"Timeliness, ","")&amp;IF(AND(U14&lt;&gt;"",U14&lt;Legend!$C$14),"Validity, ","")</f>
        <v/>
      </c>
      <c r="Y14" s="20" t="str">
        <f t="shared" si="6"/>
        <v/>
      </c>
    </row>
    <row r="15" spans="1:25" ht="15.75" customHeight="1" x14ac:dyDescent="0.25">
      <c r="A15" s="11" t="str">
        <f t="shared" si="7"/>
        <v/>
      </c>
      <c r="B15" s="21"/>
      <c r="C15" s="21"/>
      <c r="D15" s="22"/>
      <c r="E15" s="22"/>
      <c r="F15" s="23"/>
      <c r="G15" s="22"/>
      <c r="H15" s="22"/>
      <c r="I15" s="16" t="str">
        <f t="shared" si="0"/>
        <v/>
      </c>
      <c r="J15" s="22"/>
      <c r="K15" s="22"/>
      <c r="L15" s="16" t="str">
        <f t="shared" si="1"/>
        <v/>
      </c>
      <c r="M15" s="22"/>
      <c r="N15" s="22"/>
      <c r="O15" s="16" t="str">
        <f t="shared" si="2"/>
        <v/>
      </c>
      <c r="P15" s="22"/>
      <c r="Q15" s="22"/>
      <c r="R15" s="16" t="str">
        <f t="shared" si="3"/>
        <v/>
      </c>
      <c r="S15" s="22"/>
      <c r="T15" s="22"/>
      <c r="U15" s="16" t="str">
        <f t="shared" si="4"/>
        <v/>
      </c>
      <c r="V15" s="17" t="str">
        <f t="shared" si="5"/>
        <v/>
      </c>
      <c r="W15" s="18" t="str">
        <f>IF(V15="","",IF(V15&gt;=Legend!$C$14,"GREEN",IF(V15&gt;=Legend!$C$15,"YELLOW",IF(V15&gt;=Legend!$C$16,"ORANGE","RED"))))</f>
        <v/>
      </c>
      <c r="X15" s="19" t="str">
        <f>IF(AND(I15&lt;&gt;"",I15&lt;Legend!$C$14),"Accuracy, ","")&amp;IF(AND(L15&lt;&gt;"",L15&lt;Legend!$C$14),"Completeness, ","")&amp;IF(AND(O15&lt;&gt;"",O15&lt;Legend!$C$14),"Consistency, ","")&amp;IF(AND(R15&lt;&gt;"",R15&lt;Legend!$C$14),"Timeliness, ","")&amp;IF(AND(U15&lt;&gt;"",U15&lt;Legend!$C$14),"Validity, ","")</f>
        <v/>
      </c>
      <c r="Y15" s="20" t="str">
        <f t="shared" si="6"/>
        <v/>
      </c>
    </row>
    <row r="16" spans="1:25" ht="15.75" customHeight="1" x14ac:dyDescent="0.25">
      <c r="A16" s="11" t="str">
        <f t="shared" si="7"/>
        <v/>
      </c>
      <c r="B16" s="21"/>
      <c r="C16" s="21"/>
      <c r="D16" s="22"/>
      <c r="E16" s="22"/>
      <c r="F16" s="23"/>
      <c r="G16" s="22"/>
      <c r="H16" s="22"/>
      <c r="I16" s="16" t="str">
        <f t="shared" si="0"/>
        <v/>
      </c>
      <c r="J16" s="22"/>
      <c r="K16" s="22"/>
      <c r="L16" s="16" t="str">
        <f t="shared" si="1"/>
        <v/>
      </c>
      <c r="M16" s="22"/>
      <c r="N16" s="22"/>
      <c r="O16" s="16" t="str">
        <f t="shared" si="2"/>
        <v/>
      </c>
      <c r="P16" s="22"/>
      <c r="Q16" s="22"/>
      <c r="R16" s="16" t="str">
        <f t="shared" si="3"/>
        <v/>
      </c>
      <c r="S16" s="22"/>
      <c r="T16" s="22"/>
      <c r="U16" s="16" t="str">
        <f t="shared" si="4"/>
        <v/>
      </c>
      <c r="V16" s="17" t="str">
        <f t="shared" si="5"/>
        <v/>
      </c>
      <c r="W16" s="18" t="str">
        <f>IF(V16="","",IF(V16&gt;=Legend!$C$14,"GREEN",IF(V16&gt;=Legend!$C$15,"YELLOW",IF(V16&gt;=Legend!$C$16,"ORANGE","RED"))))</f>
        <v/>
      </c>
      <c r="X16" s="19" t="str">
        <f>IF(AND(I16&lt;&gt;"",I16&lt;Legend!$C$14),"Accuracy, ","")&amp;IF(AND(L16&lt;&gt;"",L16&lt;Legend!$C$14),"Completeness, ","")&amp;IF(AND(O16&lt;&gt;"",O16&lt;Legend!$C$14),"Consistency, ","")&amp;IF(AND(R16&lt;&gt;"",R16&lt;Legend!$C$14),"Timeliness, ","")&amp;IF(AND(U16&lt;&gt;"",U16&lt;Legend!$C$14),"Validity, ","")</f>
        <v/>
      </c>
      <c r="Y16" s="20" t="str">
        <f t="shared" si="6"/>
        <v/>
      </c>
    </row>
    <row r="17" spans="1:25" ht="15.75" customHeight="1" x14ac:dyDescent="0.25">
      <c r="A17" s="11" t="str">
        <f t="shared" si="7"/>
        <v/>
      </c>
      <c r="B17" s="21"/>
      <c r="C17" s="21"/>
      <c r="D17" s="22"/>
      <c r="E17" s="22"/>
      <c r="F17" s="23"/>
      <c r="G17" s="22"/>
      <c r="H17" s="22"/>
      <c r="I17" s="16" t="str">
        <f t="shared" si="0"/>
        <v/>
      </c>
      <c r="J17" s="22"/>
      <c r="K17" s="22"/>
      <c r="L17" s="16" t="str">
        <f t="shared" si="1"/>
        <v/>
      </c>
      <c r="M17" s="22"/>
      <c r="N17" s="22"/>
      <c r="O17" s="16" t="str">
        <f t="shared" si="2"/>
        <v/>
      </c>
      <c r="P17" s="22"/>
      <c r="Q17" s="22"/>
      <c r="R17" s="16" t="str">
        <f t="shared" si="3"/>
        <v/>
      </c>
      <c r="S17" s="22"/>
      <c r="T17" s="22"/>
      <c r="U17" s="16" t="str">
        <f t="shared" si="4"/>
        <v/>
      </c>
      <c r="V17" s="17" t="str">
        <f t="shared" si="5"/>
        <v/>
      </c>
      <c r="W17" s="18" t="str">
        <f>IF(V17="","",IF(V17&gt;=Legend!$C$14,"GREEN",IF(V17&gt;=Legend!$C$15,"YELLOW",IF(V17&gt;=Legend!$C$16,"ORANGE","RED"))))</f>
        <v/>
      </c>
      <c r="X17" s="19" t="str">
        <f>IF(AND(I17&lt;&gt;"",I17&lt;Legend!$C$14),"Accuracy, ","")&amp;IF(AND(L17&lt;&gt;"",L17&lt;Legend!$C$14),"Completeness, ","")&amp;IF(AND(O17&lt;&gt;"",O17&lt;Legend!$C$14),"Consistency, ","")&amp;IF(AND(R17&lt;&gt;"",R17&lt;Legend!$C$14),"Timeliness, ","")&amp;IF(AND(U17&lt;&gt;"",U17&lt;Legend!$C$14),"Validity, ","")</f>
        <v/>
      </c>
      <c r="Y17" s="20" t="str">
        <f t="shared" si="6"/>
        <v/>
      </c>
    </row>
    <row r="18" spans="1:25" ht="15.75" customHeight="1" x14ac:dyDescent="0.25">
      <c r="A18" s="11" t="str">
        <f t="shared" si="7"/>
        <v/>
      </c>
      <c r="B18" s="21"/>
      <c r="C18" s="21"/>
      <c r="D18" s="22"/>
      <c r="E18" s="22"/>
      <c r="F18" s="23"/>
      <c r="G18" s="22"/>
      <c r="H18" s="22"/>
      <c r="I18" s="16" t="str">
        <f t="shared" si="0"/>
        <v/>
      </c>
      <c r="J18" s="22"/>
      <c r="K18" s="22"/>
      <c r="L18" s="16" t="str">
        <f t="shared" si="1"/>
        <v/>
      </c>
      <c r="M18" s="22"/>
      <c r="N18" s="22"/>
      <c r="O18" s="16" t="str">
        <f t="shared" si="2"/>
        <v/>
      </c>
      <c r="P18" s="22"/>
      <c r="Q18" s="22"/>
      <c r="R18" s="16" t="str">
        <f t="shared" si="3"/>
        <v/>
      </c>
      <c r="S18" s="22"/>
      <c r="T18" s="22"/>
      <c r="U18" s="16" t="str">
        <f t="shared" si="4"/>
        <v/>
      </c>
      <c r="V18" s="17" t="str">
        <f t="shared" si="5"/>
        <v/>
      </c>
      <c r="W18" s="18" t="str">
        <f>IF(V18="","",IF(V18&gt;=Legend!$C$14,"GREEN",IF(V18&gt;=Legend!$C$15,"YELLOW",IF(V18&gt;=Legend!$C$16,"ORANGE","RED"))))</f>
        <v/>
      </c>
      <c r="X18" s="19" t="str">
        <f>IF(AND(I18&lt;&gt;"",I18&lt;Legend!$C$14),"Accuracy, ","")&amp;IF(AND(L18&lt;&gt;"",L18&lt;Legend!$C$14),"Completeness, ","")&amp;IF(AND(O18&lt;&gt;"",O18&lt;Legend!$C$14),"Consistency, ","")&amp;IF(AND(R18&lt;&gt;"",R18&lt;Legend!$C$14),"Timeliness, ","")&amp;IF(AND(U18&lt;&gt;"",U18&lt;Legend!$C$14),"Validity, ","")</f>
        <v/>
      </c>
      <c r="Y18" s="20" t="str">
        <f t="shared" si="6"/>
        <v/>
      </c>
    </row>
    <row r="19" spans="1:25" ht="15.75" customHeight="1" x14ac:dyDescent="0.25">
      <c r="A19" s="11" t="str">
        <f t="shared" si="7"/>
        <v/>
      </c>
      <c r="B19" s="21"/>
      <c r="C19" s="21"/>
      <c r="D19" s="22"/>
      <c r="E19" s="22"/>
      <c r="F19" s="23"/>
      <c r="G19" s="22"/>
      <c r="H19" s="22"/>
      <c r="I19" s="16" t="str">
        <f t="shared" si="0"/>
        <v/>
      </c>
      <c r="J19" s="22"/>
      <c r="K19" s="22"/>
      <c r="L19" s="16" t="str">
        <f t="shared" si="1"/>
        <v/>
      </c>
      <c r="M19" s="22"/>
      <c r="N19" s="22"/>
      <c r="O19" s="16" t="str">
        <f t="shared" si="2"/>
        <v/>
      </c>
      <c r="P19" s="22"/>
      <c r="Q19" s="22"/>
      <c r="R19" s="16" t="str">
        <f t="shared" si="3"/>
        <v/>
      </c>
      <c r="S19" s="22"/>
      <c r="T19" s="22"/>
      <c r="U19" s="16" t="str">
        <f t="shared" si="4"/>
        <v/>
      </c>
      <c r="V19" s="17" t="str">
        <f t="shared" si="5"/>
        <v/>
      </c>
      <c r="W19" s="18" t="str">
        <f>IF(V19="","",IF(V19&gt;=Legend!$C$14,"GREEN",IF(V19&gt;=Legend!$C$15,"YELLOW",IF(V19&gt;=Legend!$C$16,"ORANGE","RED"))))</f>
        <v/>
      </c>
      <c r="X19" s="19" t="str">
        <f>IF(AND(I19&lt;&gt;"",I19&lt;Legend!$C$14),"Accuracy, ","")&amp;IF(AND(L19&lt;&gt;"",L19&lt;Legend!$C$14),"Completeness, ","")&amp;IF(AND(O19&lt;&gt;"",O19&lt;Legend!$C$14),"Consistency, ","")&amp;IF(AND(R19&lt;&gt;"",R19&lt;Legend!$C$14),"Timeliness, ","")&amp;IF(AND(U19&lt;&gt;"",U19&lt;Legend!$C$14),"Validity, ","")</f>
        <v/>
      </c>
      <c r="Y19" s="20" t="str">
        <f t="shared" si="6"/>
        <v/>
      </c>
    </row>
    <row r="20" spans="1:25" ht="15.75" customHeight="1" x14ac:dyDescent="0.25">
      <c r="A20" s="11" t="str">
        <f t="shared" si="7"/>
        <v/>
      </c>
      <c r="B20" s="21"/>
      <c r="C20" s="21"/>
      <c r="D20" s="22"/>
      <c r="E20" s="22"/>
      <c r="F20" s="23"/>
      <c r="G20" s="22"/>
      <c r="H20" s="22"/>
      <c r="I20" s="16" t="str">
        <f t="shared" si="0"/>
        <v/>
      </c>
      <c r="J20" s="22"/>
      <c r="K20" s="22"/>
      <c r="L20" s="16" t="str">
        <f t="shared" si="1"/>
        <v/>
      </c>
      <c r="M20" s="22"/>
      <c r="N20" s="22"/>
      <c r="O20" s="16" t="str">
        <f t="shared" si="2"/>
        <v/>
      </c>
      <c r="P20" s="22"/>
      <c r="Q20" s="22"/>
      <c r="R20" s="16" t="str">
        <f t="shared" si="3"/>
        <v/>
      </c>
      <c r="S20" s="22"/>
      <c r="T20" s="22"/>
      <c r="U20" s="16" t="str">
        <f t="shared" si="4"/>
        <v/>
      </c>
      <c r="V20" s="17" t="str">
        <f t="shared" si="5"/>
        <v/>
      </c>
      <c r="W20" s="18" t="str">
        <f>IF(V20="","",IF(V20&gt;=Legend!$C$14,"GREEN",IF(V20&gt;=Legend!$C$15,"YELLOW",IF(V20&gt;=Legend!$C$16,"ORANGE","RED"))))</f>
        <v/>
      </c>
      <c r="X20" s="19" t="str">
        <f>IF(AND(I20&lt;&gt;"",I20&lt;Legend!$C$14),"Accuracy, ","")&amp;IF(AND(L20&lt;&gt;"",L20&lt;Legend!$C$14),"Completeness, ","")&amp;IF(AND(O20&lt;&gt;"",O20&lt;Legend!$C$14),"Consistency, ","")&amp;IF(AND(R20&lt;&gt;"",R20&lt;Legend!$C$14),"Timeliness, ","")&amp;IF(AND(U20&lt;&gt;"",U20&lt;Legend!$C$14),"Validity, ","")</f>
        <v/>
      </c>
      <c r="Y20" s="20" t="str">
        <f t="shared" si="6"/>
        <v/>
      </c>
    </row>
    <row r="21" spans="1:25" ht="15.75" customHeight="1" x14ac:dyDescent="0.25">
      <c r="A21" s="11" t="str">
        <f t="shared" si="7"/>
        <v/>
      </c>
      <c r="B21" s="21"/>
      <c r="C21" s="21"/>
      <c r="D21" s="22"/>
      <c r="E21" s="22"/>
      <c r="F21" s="23"/>
      <c r="G21" s="22"/>
      <c r="H21" s="22"/>
      <c r="I21" s="16" t="str">
        <f t="shared" si="0"/>
        <v/>
      </c>
      <c r="J21" s="22"/>
      <c r="K21" s="22"/>
      <c r="L21" s="16" t="str">
        <f t="shared" si="1"/>
        <v/>
      </c>
      <c r="M21" s="22"/>
      <c r="N21" s="22"/>
      <c r="O21" s="16" t="str">
        <f t="shared" si="2"/>
        <v/>
      </c>
      <c r="P21" s="22"/>
      <c r="Q21" s="22"/>
      <c r="R21" s="16" t="str">
        <f t="shared" si="3"/>
        <v/>
      </c>
      <c r="S21" s="22"/>
      <c r="T21" s="22"/>
      <c r="U21" s="16" t="str">
        <f t="shared" si="4"/>
        <v/>
      </c>
      <c r="V21" s="17" t="str">
        <f t="shared" si="5"/>
        <v/>
      </c>
      <c r="W21" s="18" t="str">
        <f>IF(V21="","",IF(V21&gt;=Legend!$C$14,"GREEN",IF(V21&gt;=Legend!$C$15,"YELLOW",IF(V21&gt;=Legend!$C$16,"ORANGE","RED"))))</f>
        <v/>
      </c>
      <c r="X21" s="19" t="str">
        <f>IF(AND(I21&lt;&gt;"",I21&lt;Legend!$C$14),"Accuracy, ","")&amp;IF(AND(L21&lt;&gt;"",L21&lt;Legend!$C$14),"Completeness, ","")&amp;IF(AND(O21&lt;&gt;"",O21&lt;Legend!$C$14),"Consistency, ","")&amp;IF(AND(R21&lt;&gt;"",R21&lt;Legend!$C$14),"Timeliness, ","")&amp;IF(AND(U21&lt;&gt;"",U21&lt;Legend!$C$14),"Validity, ","")</f>
        <v/>
      </c>
      <c r="Y21" s="20" t="str">
        <f t="shared" si="6"/>
        <v/>
      </c>
    </row>
    <row r="22" spans="1:25" ht="15.75" customHeight="1" x14ac:dyDescent="0.25">
      <c r="A22" s="11" t="str">
        <f t="shared" si="7"/>
        <v/>
      </c>
      <c r="B22" s="21"/>
      <c r="C22" s="21"/>
      <c r="D22" s="22"/>
      <c r="E22" s="22"/>
      <c r="F22" s="23"/>
      <c r="G22" s="22"/>
      <c r="H22" s="22"/>
      <c r="I22" s="16" t="str">
        <f t="shared" si="0"/>
        <v/>
      </c>
      <c r="J22" s="22"/>
      <c r="K22" s="22"/>
      <c r="L22" s="16" t="str">
        <f t="shared" si="1"/>
        <v/>
      </c>
      <c r="M22" s="22"/>
      <c r="N22" s="22"/>
      <c r="O22" s="16" t="str">
        <f t="shared" si="2"/>
        <v/>
      </c>
      <c r="P22" s="22"/>
      <c r="Q22" s="22"/>
      <c r="R22" s="16" t="str">
        <f t="shared" si="3"/>
        <v/>
      </c>
      <c r="S22" s="22"/>
      <c r="T22" s="22"/>
      <c r="U22" s="16" t="str">
        <f t="shared" si="4"/>
        <v/>
      </c>
      <c r="V22" s="17" t="str">
        <f t="shared" si="5"/>
        <v/>
      </c>
      <c r="W22" s="18" t="str">
        <f>IF(V22="","",IF(V22&gt;=Legend!$C$14,"GREEN",IF(V22&gt;=Legend!$C$15,"YELLOW",IF(V22&gt;=Legend!$C$16,"ORANGE","RED"))))</f>
        <v/>
      </c>
      <c r="X22" s="19" t="str">
        <f>IF(AND(I22&lt;&gt;"",I22&lt;Legend!$C$14),"Accuracy, ","")&amp;IF(AND(L22&lt;&gt;"",L22&lt;Legend!$C$14),"Completeness, ","")&amp;IF(AND(O22&lt;&gt;"",O22&lt;Legend!$C$14),"Consistency, ","")&amp;IF(AND(R22&lt;&gt;"",R22&lt;Legend!$C$14),"Timeliness, ","")&amp;IF(AND(U22&lt;&gt;"",U22&lt;Legend!$C$14),"Validity, ","")</f>
        <v/>
      </c>
      <c r="Y22" s="20" t="str">
        <f t="shared" si="6"/>
        <v/>
      </c>
    </row>
    <row r="23" spans="1:25" ht="15.75" customHeight="1" x14ac:dyDescent="0.25">
      <c r="A23" s="11" t="str">
        <f t="shared" si="7"/>
        <v/>
      </c>
      <c r="B23" s="21"/>
      <c r="C23" s="21"/>
      <c r="D23" s="22"/>
      <c r="E23" s="22"/>
      <c r="F23" s="23"/>
      <c r="G23" s="22"/>
      <c r="H23" s="22"/>
      <c r="I23" s="16" t="str">
        <f t="shared" si="0"/>
        <v/>
      </c>
      <c r="J23" s="22"/>
      <c r="K23" s="22"/>
      <c r="L23" s="16" t="str">
        <f t="shared" si="1"/>
        <v/>
      </c>
      <c r="M23" s="22"/>
      <c r="N23" s="22"/>
      <c r="O23" s="16" t="str">
        <f t="shared" si="2"/>
        <v/>
      </c>
      <c r="P23" s="22"/>
      <c r="Q23" s="22"/>
      <c r="R23" s="16" t="str">
        <f t="shared" si="3"/>
        <v/>
      </c>
      <c r="S23" s="22"/>
      <c r="T23" s="22"/>
      <c r="U23" s="16" t="str">
        <f t="shared" si="4"/>
        <v/>
      </c>
      <c r="V23" s="17" t="str">
        <f t="shared" si="5"/>
        <v/>
      </c>
      <c r="W23" s="18" t="str">
        <f>IF(V23="","",IF(V23&gt;=Legend!$C$14,"GREEN",IF(V23&gt;=Legend!$C$15,"YELLOW",IF(V23&gt;=Legend!$C$16,"ORANGE","RED"))))</f>
        <v/>
      </c>
      <c r="X23" s="19" t="str">
        <f>IF(AND(I23&lt;&gt;"",I23&lt;Legend!$C$14),"Accuracy, ","")&amp;IF(AND(L23&lt;&gt;"",L23&lt;Legend!$C$14),"Completeness, ","")&amp;IF(AND(O23&lt;&gt;"",O23&lt;Legend!$C$14),"Consistency, ","")&amp;IF(AND(R23&lt;&gt;"",R23&lt;Legend!$C$14),"Timeliness, ","")&amp;IF(AND(U23&lt;&gt;"",U23&lt;Legend!$C$14),"Validity, ","")</f>
        <v/>
      </c>
      <c r="Y23" s="20" t="str">
        <f t="shared" si="6"/>
        <v/>
      </c>
    </row>
    <row r="24" spans="1:25" ht="15.75" customHeight="1" x14ac:dyDescent="0.25">
      <c r="A24" s="11" t="str">
        <f t="shared" si="7"/>
        <v/>
      </c>
      <c r="B24" s="21"/>
      <c r="C24" s="21"/>
      <c r="D24" s="22"/>
      <c r="E24" s="22"/>
      <c r="F24" s="23"/>
      <c r="G24" s="22"/>
      <c r="H24" s="22"/>
      <c r="I24" s="16" t="str">
        <f t="shared" si="0"/>
        <v/>
      </c>
      <c r="J24" s="22"/>
      <c r="K24" s="22"/>
      <c r="L24" s="16" t="str">
        <f t="shared" si="1"/>
        <v/>
      </c>
      <c r="M24" s="22"/>
      <c r="N24" s="22"/>
      <c r="O24" s="16" t="str">
        <f t="shared" si="2"/>
        <v/>
      </c>
      <c r="P24" s="22"/>
      <c r="Q24" s="22"/>
      <c r="R24" s="16" t="str">
        <f t="shared" si="3"/>
        <v/>
      </c>
      <c r="S24" s="22"/>
      <c r="T24" s="22"/>
      <c r="U24" s="16" t="str">
        <f t="shared" si="4"/>
        <v/>
      </c>
      <c r="V24" s="17" t="str">
        <f t="shared" si="5"/>
        <v/>
      </c>
      <c r="W24" s="18" t="str">
        <f>IF(V24="","",IF(V24&gt;=Legend!$C$14,"GREEN",IF(V24&gt;=Legend!$C$15,"YELLOW",IF(V24&gt;=Legend!$C$16,"ORANGE","RED"))))</f>
        <v/>
      </c>
      <c r="X24" s="19" t="str">
        <f>IF(AND(I24&lt;&gt;"",I24&lt;Legend!$C$14),"Accuracy, ","")&amp;IF(AND(L24&lt;&gt;"",L24&lt;Legend!$C$14),"Completeness, ","")&amp;IF(AND(O24&lt;&gt;"",O24&lt;Legend!$C$14),"Consistency, ","")&amp;IF(AND(R24&lt;&gt;"",R24&lt;Legend!$C$14),"Timeliness, ","")&amp;IF(AND(U24&lt;&gt;"",U24&lt;Legend!$C$14),"Validity, ","")</f>
        <v/>
      </c>
      <c r="Y24" s="20" t="str">
        <f t="shared" si="6"/>
        <v/>
      </c>
    </row>
    <row r="25" spans="1:25" ht="15.75" customHeight="1" x14ac:dyDescent="0.25">
      <c r="A25" s="11" t="str">
        <f t="shared" si="7"/>
        <v/>
      </c>
      <c r="B25" s="21"/>
      <c r="C25" s="21"/>
      <c r="D25" s="22"/>
      <c r="E25" s="22"/>
      <c r="F25" s="23"/>
      <c r="G25" s="22"/>
      <c r="H25" s="22"/>
      <c r="I25" s="16" t="str">
        <f t="shared" si="0"/>
        <v/>
      </c>
      <c r="J25" s="22"/>
      <c r="K25" s="22"/>
      <c r="L25" s="16" t="str">
        <f t="shared" si="1"/>
        <v/>
      </c>
      <c r="M25" s="22"/>
      <c r="N25" s="22"/>
      <c r="O25" s="16" t="str">
        <f t="shared" si="2"/>
        <v/>
      </c>
      <c r="P25" s="22"/>
      <c r="Q25" s="22"/>
      <c r="R25" s="16" t="str">
        <f t="shared" si="3"/>
        <v/>
      </c>
      <c r="S25" s="22"/>
      <c r="T25" s="22"/>
      <c r="U25" s="16" t="str">
        <f t="shared" si="4"/>
        <v/>
      </c>
      <c r="V25" s="17" t="str">
        <f t="shared" si="5"/>
        <v/>
      </c>
      <c r="W25" s="18" t="str">
        <f>IF(V25="","",IF(V25&gt;=Legend!$C$14,"GREEN",IF(V25&gt;=Legend!$C$15,"YELLOW",IF(V25&gt;=Legend!$C$16,"ORANGE","RED"))))</f>
        <v/>
      </c>
      <c r="X25" s="19" t="str">
        <f>IF(AND(I25&lt;&gt;"",I25&lt;Legend!$C$14),"Accuracy, ","")&amp;IF(AND(L25&lt;&gt;"",L25&lt;Legend!$C$14),"Completeness, ","")&amp;IF(AND(O25&lt;&gt;"",O25&lt;Legend!$C$14),"Consistency, ","")&amp;IF(AND(R25&lt;&gt;"",R25&lt;Legend!$C$14),"Timeliness, ","")&amp;IF(AND(U25&lt;&gt;"",U25&lt;Legend!$C$14),"Validity, ","")</f>
        <v/>
      </c>
      <c r="Y25" s="20" t="str">
        <f t="shared" si="6"/>
        <v/>
      </c>
    </row>
    <row r="26" spans="1:25" ht="15.75" customHeight="1" x14ac:dyDescent="0.25">
      <c r="A26" s="11" t="str">
        <f t="shared" si="7"/>
        <v/>
      </c>
      <c r="B26" s="21"/>
      <c r="C26" s="21"/>
      <c r="D26" s="22"/>
      <c r="E26" s="22"/>
      <c r="F26" s="23"/>
      <c r="G26" s="22"/>
      <c r="H26" s="22"/>
      <c r="I26" s="16" t="str">
        <f t="shared" si="0"/>
        <v/>
      </c>
      <c r="J26" s="22"/>
      <c r="K26" s="22"/>
      <c r="L26" s="16" t="str">
        <f t="shared" si="1"/>
        <v/>
      </c>
      <c r="M26" s="22"/>
      <c r="N26" s="22"/>
      <c r="O26" s="16" t="str">
        <f t="shared" si="2"/>
        <v/>
      </c>
      <c r="P26" s="22"/>
      <c r="Q26" s="22"/>
      <c r="R26" s="16" t="str">
        <f t="shared" si="3"/>
        <v/>
      </c>
      <c r="S26" s="22"/>
      <c r="T26" s="22"/>
      <c r="U26" s="16" t="str">
        <f t="shared" si="4"/>
        <v/>
      </c>
      <c r="V26" s="17" t="str">
        <f t="shared" si="5"/>
        <v/>
      </c>
      <c r="W26" s="18" t="str">
        <f>IF(V26="","",IF(V26&gt;=Legend!$C$14,"GREEN",IF(V26&gt;=Legend!$C$15,"YELLOW",IF(V26&gt;=Legend!$C$16,"ORANGE","RED"))))</f>
        <v/>
      </c>
      <c r="X26" s="19" t="str">
        <f>IF(AND(I26&lt;&gt;"",I26&lt;Legend!$C$14),"Accuracy, ","")&amp;IF(AND(L26&lt;&gt;"",L26&lt;Legend!$C$14),"Completeness, ","")&amp;IF(AND(O26&lt;&gt;"",O26&lt;Legend!$C$14),"Consistency, ","")&amp;IF(AND(R26&lt;&gt;"",R26&lt;Legend!$C$14),"Timeliness, ","")&amp;IF(AND(U26&lt;&gt;"",U26&lt;Legend!$C$14),"Validity, ","")</f>
        <v/>
      </c>
      <c r="Y26" s="20" t="str">
        <f t="shared" si="6"/>
        <v/>
      </c>
    </row>
    <row r="27" spans="1:25" ht="15.75" customHeight="1" x14ac:dyDescent="0.25">
      <c r="A27" s="11" t="str">
        <f t="shared" si="7"/>
        <v/>
      </c>
      <c r="B27" s="21"/>
      <c r="C27" s="21"/>
      <c r="D27" s="22"/>
      <c r="E27" s="22"/>
      <c r="F27" s="23"/>
      <c r="G27" s="22"/>
      <c r="H27" s="22"/>
      <c r="I27" s="16" t="str">
        <f t="shared" si="0"/>
        <v/>
      </c>
      <c r="J27" s="22"/>
      <c r="K27" s="22"/>
      <c r="L27" s="16" t="str">
        <f t="shared" si="1"/>
        <v/>
      </c>
      <c r="M27" s="22"/>
      <c r="N27" s="22"/>
      <c r="O27" s="16" t="str">
        <f t="shared" si="2"/>
        <v/>
      </c>
      <c r="P27" s="22"/>
      <c r="Q27" s="22"/>
      <c r="R27" s="16" t="str">
        <f t="shared" si="3"/>
        <v/>
      </c>
      <c r="S27" s="22"/>
      <c r="T27" s="22"/>
      <c r="U27" s="16" t="str">
        <f t="shared" si="4"/>
        <v/>
      </c>
      <c r="V27" s="17" t="str">
        <f t="shared" si="5"/>
        <v/>
      </c>
      <c r="W27" s="18" t="str">
        <f>IF(V27="","",IF(V27&gt;=Legend!$C$14,"GREEN",IF(V27&gt;=Legend!$C$15,"YELLOW",IF(V27&gt;=Legend!$C$16,"ORANGE","RED"))))</f>
        <v/>
      </c>
      <c r="X27" s="19" t="str">
        <f>IF(AND(I27&lt;&gt;"",I27&lt;Legend!$C$14),"Accuracy, ","")&amp;IF(AND(L27&lt;&gt;"",L27&lt;Legend!$C$14),"Completeness, ","")&amp;IF(AND(O27&lt;&gt;"",O27&lt;Legend!$C$14),"Consistency, ","")&amp;IF(AND(R27&lt;&gt;"",R27&lt;Legend!$C$14),"Timeliness, ","")&amp;IF(AND(U27&lt;&gt;"",U27&lt;Legend!$C$14),"Validity, ","")</f>
        <v/>
      </c>
      <c r="Y27" s="20" t="str">
        <f t="shared" si="6"/>
        <v/>
      </c>
    </row>
    <row r="28" spans="1:25" ht="15.75" customHeight="1" x14ac:dyDescent="0.25">
      <c r="A28" s="11" t="str">
        <f t="shared" si="7"/>
        <v/>
      </c>
      <c r="B28" s="21"/>
      <c r="C28" s="21"/>
      <c r="D28" s="22"/>
      <c r="E28" s="22"/>
      <c r="F28" s="23"/>
      <c r="G28" s="22"/>
      <c r="H28" s="22"/>
      <c r="I28" s="16" t="str">
        <f t="shared" si="0"/>
        <v/>
      </c>
      <c r="J28" s="22"/>
      <c r="K28" s="22"/>
      <c r="L28" s="16" t="str">
        <f t="shared" si="1"/>
        <v/>
      </c>
      <c r="M28" s="22"/>
      <c r="N28" s="22"/>
      <c r="O28" s="16" t="str">
        <f t="shared" si="2"/>
        <v/>
      </c>
      <c r="P28" s="22"/>
      <c r="Q28" s="22"/>
      <c r="R28" s="16" t="str">
        <f t="shared" si="3"/>
        <v/>
      </c>
      <c r="S28" s="22"/>
      <c r="T28" s="22"/>
      <c r="U28" s="16" t="str">
        <f t="shared" si="4"/>
        <v/>
      </c>
      <c r="V28" s="17" t="str">
        <f t="shared" si="5"/>
        <v/>
      </c>
      <c r="W28" s="18" t="str">
        <f>IF(V28="","",IF(V28&gt;=Legend!$C$14,"GREEN",IF(V28&gt;=Legend!$C$15,"YELLOW",IF(V28&gt;=Legend!$C$16,"ORANGE","RED"))))</f>
        <v/>
      </c>
      <c r="X28" s="19" t="str">
        <f>IF(AND(I28&lt;&gt;"",I28&lt;Legend!$C$14),"Accuracy, ","")&amp;IF(AND(L28&lt;&gt;"",L28&lt;Legend!$C$14),"Completeness, ","")&amp;IF(AND(O28&lt;&gt;"",O28&lt;Legend!$C$14),"Consistency, ","")&amp;IF(AND(R28&lt;&gt;"",R28&lt;Legend!$C$14),"Timeliness, ","")&amp;IF(AND(U28&lt;&gt;"",U28&lt;Legend!$C$14),"Validity, ","")</f>
        <v/>
      </c>
      <c r="Y28" s="20" t="str">
        <f t="shared" si="6"/>
        <v/>
      </c>
    </row>
    <row r="29" spans="1:25" ht="15.75" customHeight="1" x14ac:dyDescent="0.25">
      <c r="A29" s="11" t="str">
        <f t="shared" si="7"/>
        <v/>
      </c>
      <c r="B29" s="21"/>
      <c r="C29" s="21"/>
      <c r="D29" s="22"/>
      <c r="E29" s="22"/>
      <c r="F29" s="23"/>
      <c r="G29" s="22"/>
      <c r="H29" s="22"/>
      <c r="I29" s="16" t="str">
        <f t="shared" si="0"/>
        <v/>
      </c>
      <c r="J29" s="22"/>
      <c r="K29" s="22"/>
      <c r="L29" s="16" t="str">
        <f t="shared" si="1"/>
        <v/>
      </c>
      <c r="M29" s="22"/>
      <c r="N29" s="22"/>
      <c r="O29" s="16" t="str">
        <f t="shared" si="2"/>
        <v/>
      </c>
      <c r="P29" s="22"/>
      <c r="Q29" s="22"/>
      <c r="R29" s="16" t="str">
        <f t="shared" si="3"/>
        <v/>
      </c>
      <c r="S29" s="22"/>
      <c r="T29" s="22"/>
      <c r="U29" s="16" t="str">
        <f t="shared" si="4"/>
        <v/>
      </c>
      <c r="V29" s="17" t="str">
        <f t="shared" si="5"/>
        <v/>
      </c>
      <c r="W29" s="18" t="str">
        <f>IF(V29="","",IF(V29&gt;=Legend!$C$14,"GREEN",IF(V29&gt;=Legend!$C$15,"YELLOW",IF(V29&gt;=Legend!$C$16,"ORANGE","RED"))))</f>
        <v/>
      </c>
      <c r="X29" s="19" t="str">
        <f>IF(AND(I29&lt;&gt;"",I29&lt;Legend!$C$14),"Accuracy, ","")&amp;IF(AND(L29&lt;&gt;"",L29&lt;Legend!$C$14),"Completeness, ","")&amp;IF(AND(O29&lt;&gt;"",O29&lt;Legend!$C$14),"Consistency, ","")&amp;IF(AND(R29&lt;&gt;"",R29&lt;Legend!$C$14),"Timeliness, ","")&amp;IF(AND(U29&lt;&gt;"",U29&lt;Legend!$C$14),"Validity, ","")</f>
        <v/>
      </c>
      <c r="Y29" s="20" t="str">
        <f t="shared" si="6"/>
        <v/>
      </c>
    </row>
    <row r="30" spans="1:25" ht="15.75" customHeight="1" x14ac:dyDescent="0.25">
      <c r="A30" s="11" t="str">
        <f t="shared" si="7"/>
        <v/>
      </c>
      <c r="B30" s="21"/>
      <c r="C30" s="21"/>
      <c r="D30" s="22"/>
      <c r="E30" s="22"/>
      <c r="F30" s="23"/>
      <c r="G30" s="22"/>
      <c r="H30" s="22"/>
      <c r="I30" s="16" t="str">
        <f t="shared" si="0"/>
        <v/>
      </c>
      <c r="J30" s="22"/>
      <c r="K30" s="22"/>
      <c r="L30" s="16" t="str">
        <f t="shared" si="1"/>
        <v/>
      </c>
      <c r="M30" s="22"/>
      <c r="N30" s="22"/>
      <c r="O30" s="16" t="str">
        <f t="shared" si="2"/>
        <v/>
      </c>
      <c r="P30" s="22"/>
      <c r="Q30" s="22"/>
      <c r="R30" s="16" t="str">
        <f t="shared" si="3"/>
        <v/>
      </c>
      <c r="S30" s="22"/>
      <c r="T30" s="22"/>
      <c r="U30" s="16" t="str">
        <f t="shared" si="4"/>
        <v/>
      </c>
      <c r="V30" s="17" t="str">
        <f t="shared" si="5"/>
        <v/>
      </c>
      <c r="W30" s="18" t="str">
        <f>IF(V30="","",IF(V30&gt;=Legend!$C$14,"GREEN",IF(V30&gt;=Legend!$C$15,"YELLOW",IF(V30&gt;=Legend!$C$16,"ORANGE","RED"))))</f>
        <v/>
      </c>
      <c r="X30" s="19" t="str">
        <f>IF(AND(I30&lt;&gt;"",I30&lt;Legend!$C$14),"Accuracy, ","")&amp;IF(AND(L30&lt;&gt;"",L30&lt;Legend!$C$14),"Completeness, ","")&amp;IF(AND(O30&lt;&gt;"",O30&lt;Legend!$C$14),"Consistency, ","")&amp;IF(AND(R30&lt;&gt;"",R30&lt;Legend!$C$14),"Timeliness, ","")&amp;IF(AND(U30&lt;&gt;"",U30&lt;Legend!$C$14),"Validity, ","")</f>
        <v/>
      </c>
      <c r="Y30" s="20" t="str">
        <f t="shared" si="6"/>
        <v/>
      </c>
    </row>
    <row r="31" spans="1:25" ht="15.75" customHeight="1" x14ac:dyDescent="0.25">
      <c r="A31" s="11" t="str">
        <f t="shared" si="7"/>
        <v/>
      </c>
      <c r="B31" s="21"/>
      <c r="C31" s="21"/>
      <c r="D31" s="22"/>
      <c r="E31" s="22"/>
      <c r="F31" s="23"/>
      <c r="G31" s="22"/>
      <c r="H31" s="22"/>
      <c r="I31" s="16" t="str">
        <f t="shared" si="0"/>
        <v/>
      </c>
      <c r="J31" s="22"/>
      <c r="K31" s="22"/>
      <c r="L31" s="16" t="str">
        <f t="shared" si="1"/>
        <v/>
      </c>
      <c r="M31" s="22"/>
      <c r="N31" s="22"/>
      <c r="O31" s="16" t="str">
        <f t="shared" si="2"/>
        <v/>
      </c>
      <c r="P31" s="22"/>
      <c r="Q31" s="22"/>
      <c r="R31" s="16" t="str">
        <f t="shared" si="3"/>
        <v/>
      </c>
      <c r="S31" s="22"/>
      <c r="T31" s="22"/>
      <c r="U31" s="16" t="str">
        <f t="shared" si="4"/>
        <v/>
      </c>
      <c r="V31" s="17" t="str">
        <f t="shared" si="5"/>
        <v/>
      </c>
      <c r="W31" s="18" t="str">
        <f>IF(V31="","",IF(V31&gt;=Legend!$C$14,"GREEN",IF(V31&gt;=Legend!$C$15,"YELLOW",IF(V31&gt;=Legend!$C$16,"ORANGE","RED"))))</f>
        <v/>
      </c>
      <c r="X31" s="19" t="str">
        <f>IF(AND(I31&lt;&gt;"",I31&lt;Legend!$C$14),"Accuracy, ","")&amp;IF(AND(L31&lt;&gt;"",L31&lt;Legend!$C$14),"Completeness, ","")&amp;IF(AND(O31&lt;&gt;"",O31&lt;Legend!$C$14),"Consistency, ","")&amp;IF(AND(R31&lt;&gt;"",R31&lt;Legend!$C$14),"Timeliness, ","")&amp;IF(AND(U31&lt;&gt;"",U31&lt;Legend!$C$14),"Validity, ","")</f>
        <v/>
      </c>
      <c r="Y31" s="20" t="str">
        <f t="shared" si="6"/>
        <v/>
      </c>
    </row>
    <row r="32" spans="1:25" ht="15.75" customHeight="1" x14ac:dyDescent="0.25">
      <c r="A32" s="11" t="str">
        <f t="shared" si="7"/>
        <v/>
      </c>
      <c r="B32" s="21"/>
      <c r="C32" s="21"/>
      <c r="D32" s="22"/>
      <c r="E32" s="22"/>
      <c r="F32" s="23"/>
      <c r="G32" s="22"/>
      <c r="H32" s="22"/>
      <c r="I32" s="16" t="str">
        <f t="shared" si="0"/>
        <v/>
      </c>
      <c r="J32" s="22"/>
      <c r="K32" s="22"/>
      <c r="L32" s="16" t="str">
        <f t="shared" si="1"/>
        <v/>
      </c>
      <c r="M32" s="22"/>
      <c r="N32" s="22"/>
      <c r="O32" s="16" t="str">
        <f t="shared" si="2"/>
        <v/>
      </c>
      <c r="P32" s="22"/>
      <c r="Q32" s="22"/>
      <c r="R32" s="16" t="str">
        <f t="shared" si="3"/>
        <v/>
      </c>
      <c r="S32" s="22"/>
      <c r="T32" s="22"/>
      <c r="U32" s="16" t="str">
        <f t="shared" si="4"/>
        <v/>
      </c>
      <c r="V32" s="17" t="str">
        <f t="shared" si="5"/>
        <v/>
      </c>
      <c r="W32" s="18" t="str">
        <f>IF(V32="","",IF(V32&gt;=Legend!$C$14,"GREEN",IF(V32&gt;=Legend!$C$15,"YELLOW",IF(V32&gt;=Legend!$C$16,"ORANGE","RED"))))</f>
        <v/>
      </c>
      <c r="X32" s="19" t="str">
        <f>IF(AND(I32&lt;&gt;"",I32&lt;Legend!$C$14),"Accuracy, ","")&amp;IF(AND(L32&lt;&gt;"",L32&lt;Legend!$C$14),"Completeness, ","")&amp;IF(AND(O32&lt;&gt;"",O32&lt;Legend!$C$14),"Consistency, ","")&amp;IF(AND(R32&lt;&gt;"",R32&lt;Legend!$C$14),"Timeliness, ","")&amp;IF(AND(U32&lt;&gt;"",U32&lt;Legend!$C$14),"Validity, ","")</f>
        <v/>
      </c>
      <c r="Y32" s="20" t="str">
        <f t="shared" si="6"/>
        <v/>
      </c>
    </row>
    <row r="33" spans="1:25" ht="15.75" customHeight="1" x14ac:dyDescent="0.25">
      <c r="A33" s="11" t="str">
        <f t="shared" si="7"/>
        <v/>
      </c>
      <c r="B33" s="21"/>
      <c r="C33" s="21"/>
      <c r="D33" s="22"/>
      <c r="E33" s="22"/>
      <c r="F33" s="23"/>
      <c r="G33" s="22"/>
      <c r="H33" s="22"/>
      <c r="I33" s="16" t="str">
        <f t="shared" si="0"/>
        <v/>
      </c>
      <c r="J33" s="22"/>
      <c r="K33" s="22"/>
      <c r="L33" s="16" t="str">
        <f t="shared" si="1"/>
        <v/>
      </c>
      <c r="M33" s="22"/>
      <c r="N33" s="22"/>
      <c r="O33" s="16" t="str">
        <f t="shared" si="2"/>
        <v/>
      </c>
      <c r="P33" s="22"/>
      <c r="Q33" s="22"/>
      <c r="R33" s="16" t="str">
        <f t="shared" si="3"/>
        <v/>
      </c>
      <c r="S33" s="22"/>
      <c r="T33" s="22"/>
      <c r="U33" s="16" t="str">
        <f t="shared" si="4"/>
        <v/>
      </c>
      <c r="V33" s="17" t="str">
        <f t="shared" si="5"/>
        <v/>
      </c>
      <c r="W33" s="18" t="str">
        <f>IF(V33="","",IF(V33&gt;=Legend!$C$14,"GREEN",IF(V33&gt;=Legend!$C$15,"YELLOW",IF(V33&gt;=Legend!$C$16,"ORANGE","RED"))))</f>
        <v/>
      </c>
      <c r="X33" s="19" t="str">
        <f>IF(AND(I33&lt;&gt;"",I33&lt;Legend!$C$14),"Accuracy, ","")&amp;IF(AND(L33&lt;&gt;"",L33&lt;Legend!$C$14),"Completeness, ","")&amp;IF(AND(O33&lt;&gt;"",O33&lt;Legend!$C$14),"Consistency, ","")&amp;IF(AND(R33&lt;&gt;"",R33&lt;Legend!$C$14),"Timeliness, ","")&amp;IF(AND(U33&lt;&gt;"",U33&lt;Legend!$C$14),"Validity, ","")</f>
        <v/>
      </c>
      <c r="Y33" s="20" t="str">
        <f t="shared" si="6"/>
        <v/>
      </c>
    </row>
    <row r="34" spans="1:25" ht="15.75" customHeight="1" x14ac:dyDescent="0.25">
      <c r="A34" s="11" t="str">
        <f t="shared" si="7"/>
        <v/>
      </c>
      <c r="B34" s="21"/>
      <c r="C34" s="21"/>
      <c r="D34" s="22"/>
      <c r="E34" s="22"/>
      <c r="F34" s="23"/>
      <c r="G34" s="22"/>
      <c r="H34" s="22"/>
      <c r="I34" s="16" t="str">
        <f t="shared" si="0"/>
        <v/>
      </c>
      <c r="J34" s="22"/>
      <c r="K34" s="22"/>
      <c r="L34" s="16" t="str">
        <f t="shared" si="1"/>
        <v/>
      </c>
      <c r="M34" s="22"/>
      <c r="N34" s="22"/>
      <c r="O34" s="16" t="str">
        <f t="shared" si="2"/>
        <v/>
      </c>
      <c r="P34" s="22"/>
      <c r="Q34" s="22"/>
      <c r="R34" s="16" t="str">
        <f t="shared" si="3"/>
        <v/>
      </c>
      <c r="S34" s="22"/>
      <c r="T34" s="22"/>
      <c r="U34" s="16" t="str">
        <f t="shared" si="4"/>
        <v/>
      </c>
      <c r="V34" s="17" t="str">
        <f t="shared" si="5"/>
        <v/>
      </c>
      <c r="W34" s="18" t="str">
        <f>IF(V34="","",IF(V34&gt;=Legend!$C$14,"GREEN",IF(V34&gt;=Legend!$C$15,"YELLOW",IF(V34&gt;=Legend!$C$16,"ORANGE","RED"))))</f>
        <v/>
      </c>
      <c r="X34" s="19" t="str">
        <f>IF(AND(I34&lt;&gt;"",I34&lt;Legend!$C$14),"Accuracy, ","")&amp;IF(AND(L34&lt;&gt;"",L34&lt;Legend!$C$14),"Completeness, ","")&amp;IF(AND(O34&lt;&gt;"",O34&lt;Legend!$C$14),"Consistency, ","")&amp;IF(AND(R34&lt;&gt;"",R34&lt;Legend!$C$14),"Timeliness, ","")&amp;IF(AND(U34&lt;&gt;"",U34&lt;Legend!$C$14),"Validity, ","")</f>
        <v/>
      </c>
      <c r="Y34" s="20" t="str">
        <f t="shared" si="6"/>
        <v/>
      </c>
    </row>
    <row r="35" spans="1:25" ht="15.75" customHeight="1" x14ac:dyDescent="0.25">
      <c r="A35" s="11" t="str">
        <f t="shared" si="7"/>
        <v/>
      </c>
      <c r="B35" s="21"/>
      <c r="C35" s="21"/>
      <c r="D35" s="22"/>
      <c r="E35" s="22"/>
      <c r="F35" s="23"/>
      <c r="G35" s="22"/>
      <c r="H35" s="22"/>
      <c r="I35" s="16" t="str">
        <f t="shared" si="0"/>
        <v/>
      </c>
      <c r="J35" s="22"/>
      <c r="K35" s="22"/>
      <c r="L35" s="16" t="str">
        <f t="shared" si="1"/>
        <v/>
      </c>
      <c r="M35" s="22"/>
      <c r="N35" s="22"/>
      <c r="O35" s="16" t="str">
        <f t="shared" si="2"/>
        <v/>
      </c>
      <c r="P35" s="22"/>
      <c r="Q35" s="22"/>
      <c r="R35" s="16" t="str">
        <f t="shared" si="3"/>
        <v/>
      </c>
      <c r="S35" s="22"/>
      <c r="T35" s="22"/>
      <c r="U35" s="16" t="str">
        <f t="shared" si="4"/>
        <v/>
      </c>
      <c r="V35" s="17" t="str">
        <f t="shared" si="5"/>
        <v/>
      </c>
      <c r="W35" s="18" t="str">
        <f>IF(V35="","",IF(V35&gt;=Legend!$C$14,"GREEN",IF(V35&gt;=Legend!$C$15,"YELLOW",IF(V35&gt;=Legend!$C$16,"ORANGE","RED"))))</f>
        <v/>
      </c>
      <c r="X35" s="19" t="str">
        <f>IF(AND(I35&lt;&gt;"",I35&lt;Legend!$C$14),"Accuracy, ","")&amp;IF(AND(L35&lt;&gt;"",L35&lt;Legend!$C$14),"Completeness, ","")&amp;IF(AND(O35&lt;&gt;"",O35&lt;Legend!$C$14),"Consistency, ","")&amp;IF(AND(R35&lt;&gt;"",R35&lt;Legend!$C$14),"Timeliness, ","")&amp;IF(AND(U35&lt;&gt;"",U35&lt;Legend!$C$14),"Validity, ","")</f>
        <v/>
      </c>
      <c r="Y35" s="20" t="str">
        <f t="shared" si="6"/>
        <v/>
      </c>
    </row>
    <row r="36" spans="1:25" ht="15.75" customHeight="1" x14ac:dyDescent="0.25">
      <c r="A36" s="11" t="str">
        <f t="shared" si="7"/>
        <v/>
      </c>
      <c r="B36" s="21"/>
      <c r="C36" s="21"/>
      <c r="D36" s="22"/>
      <c r="E36" s="22"/>
      <c r="F36" s="23"/>
      <c r="G36" s="22"/>
      <c r="H36" s="22"/>
      <c r="I36" s="16" t="str">
        <f t="shared" si="0"/>
        <v/>
      </c>
      <c r="J36" s="22"/>
      <c r="K36" s="22"/>
      <c r="L36" s="16" t="str">
        <f t="shared" si="1"/>
        <v/>
      </c>
      <c r="M36" s="22"/>
      <c r="N36" s="22"/>
      <c r="O36" s="16" t="str">
        <f t="shared" si="2"/>
        <v/>
      </c>
      <c r="P36" s="22"/>
      <c r="Q36" s="22"/>
      <c r="R36" s="16" t="str">
        <f t="shared" si="3"/>
        <v/>
      </c>
      <c r="S36" s="22"/>
      <c r="T36" s="22"/>
      <c r="U36" s="16" t="str">
        <f t="shared" si="4"/>
        <v/>
      </c>
      <c r="V36" s="17" t="str">
        <f t="shared" si="5"/>
        <v/>
      </c>
      <c r="W36" s="18" t="str">
        <f>IF(V36="","",IF(V36&gt;=Legend!$C$14,"GREEN",IF(V36&gt;=Legend!$C$15,"YELLOW",IF(V36&gt;=Legend!$C$16,"ORANGE","RED"))))</f>
        <v/>
      </c>
      <c r="X36" s="19" t="str">
        <f>IF(AND(I36&lt;&gt;"",I36&lt;Legend!$C$14),"Accuracy, ","")&amp;IF(AND(L36&lt;&gt;"",L36&lt;Legend!$C$14),"Completeness, ","")&amp;IF(AND(O36&lt;&gt;"",O36&lt;Legend!$C$14),"Consistency, ","")&amp;IF(AND(R36&lt;&gt;"",R36&lt;Legend!$C$14),"Timeliness, ","")&amp;IF(AND(U36&lt;&gt;"",U36&lt;Legend!$C$14),"Validity, ","")</f>
        <v/>
      </c>
      <c r="Y36" s="20" t="str">
        <f t="shared" si="6"/>
        <v/>
      </c>
    </row>
    <row r="37" spans="1:25" ht="15.75" customHeight="1" x14ac:dyDescent="0.25">
      <c r="A37" s="11" t="str">
        <f t="shared" si="7"/>
        <v/>
      </c>
      <c r="B37" s="21"/>
      <c r="C37" s="21"/>
      <c r="D37" s="22"/>
      <c r="E37" s="22"/>
      <c r="F37" s="23"/>
      <c r="G37" s="22"/>
      <c r="H37" s="22"/>
      <c r="I37" s="16" t="str">
        <f t="shared" si="0"/>
        <v/>
      </c>
      <c r="J37" s="22"/>
      <c r="K37" s="22"/>
      <c r="L37" s="16" t="str">
        <f t="shared" si="1"/>
        <v/>
      </c>
      <c r="M37" s="22"/>
      <c r="N37" s="22"/>
      <c r="O37" s="16" t="str">
        <f t="shared" si="2"/>
        <v/>
      </c>
      <c r="P37" s="22"/>
      <c r="Q37" s="22"/>
      <c r="R37" s="16" t="str">
        <f t="shared" si="3"/>
        <v/>
      </c>
      <c r="S37" s="22"/>
      <c r="T37" s="22"/>
      <c r="U37" s="16" t="str">
        <f t="shared" si="4"/>
        <v/>
      </c>
      <c r="V37" s="17" t="str">
        <f t="shared" si="5"/>
        <v/>
      </c>
      <c r="W37" s="18" t="str">
        <f>IF(V37="","",IF(V37&gt;=Legend!$C$14,"GREEN",IF(V37&gt;=Legend!$C$15,"YELLOW",IF(V37&gt;=Legend!$C$16,"ORANGE","RED"))))</f>
        <v/>
      </c>
      <c r="X37" s="19" t="str">
        <f>IF(AND(I37&lt;&gt;"",I37&lt;Legend!$C$14),"Accuracy, ","")&amp;IF(AND(L37&lt;&gt;"",L37&lt;Legend!$C$14),"Completeness, ","")&amp;IF(AND(O37&lt;&gt;"",O37&lt;Legend!$C$14),"Consistency, ","")&amp;IF(AND(R37&lt;&gt;"",R37&lt;Legend!$C$14),"Timeliness, ","")&amp;IF(AND(U37&lt;&gt;"",U37&lt;Legend!$C$14),"Validity, ","")</f>
        <v/>
      </c>
      <c r="Y37" s="20" t="str">
        <f t="shared" si="6"/>
        <v/>
      </c>
    </row>
    <row r="38" spans="1:25" ht="15.75" customHeight="1" x14ac:dyDescent="0.25">
      <c r="A38" s="11" t="str">
        <f t="shared" si="7"/>
        <v/>
      </c>
      <c r="B38" s="21"/>
      <c r="C38" s="21"/>
      <c r="D38" s="22"/>
      <c r="E38" s="22"/>
      <c r="F38" s="23"/>
      <c r="G38" s="22"/>
      <c r="H38" s="22"/>
      <c r="I38" s="16" t="str">
        <f t="shared" si="0"/>
        <v/>
      </c>
      <c r="J38" s="22"/>
      <c r="K38" s="22"/>
      <c r="L38" s="16" t="str">
        <f t="shared" si="1"/>
        <v/>
      </c>
      <c r="M38" s="22"/>
      <c r="N38" s="22"/>
      <c r="O38" s="16" t="str">
        <f t="shared" si="2"/>
        <v/>
      </c>
      <c r="P38" s="22"/>
      <c r="Q38" s="22"/>
      <c r="R38" s="16" t="str">
        <f t="shared" si="3"/>
        <v/>
      </c>
      <c r="S38" s="22"/>
      <c r="T38" s="22"/>
      <c r="U38" s="16" t="str">
        <f t="shared" si="4"/>
        <v/>
      </c>
      <c r="V38" s="17" t="str">
        <f t="shared" si="5"/>
        <v/>
      </c>
      <c r="W38" s="18" t="str">
        <f>IF(V38="","",IF(V38&gt;=Legend!$C$14,"GREEN",IF(V38&gt;=Legend!$C$15,"YELLOW",IF(V38&gt;=Legend!$C$16,"ORANGE","RED"))))</f>
        <v/>
      </c>
      <c r="X38" s="19" t="str">
        <f>IF(AND(I38&lt;&gt;"",I38&lt;Legend!$C$14),"Accuracy, ","")&amp;IF(AND(L38&lt;&gt;"",L38&lt;Legend!$C$14),"Completeness, ","")&amp;IF(AND(O38&lt;&gt;"",O38&lt;Legend!$C$14),"Consistency, ","")&amp;IF(AND(R38&lt;&gt;"",R38&lt;Legend!$C$14),"Timeliness, ","")&amp;IF(AND(U38&lt;&gt;"",U38&lt;Legend!$C$14),"Validity, ","")</f>
        <v/>
      </c>
      <c r="Y38" s="20" t="str">
        <f t="shared" si="6"/>
        <v/>
      </c>
    </row>
    <row r="39" spans="1:25" ht="15.75" customHeight="1" x14ac:dyDescent="0.25">
      <c r="A39" s="11" t="str">
        <f t="shared" si="7"/>
        <v/>
      </c>
      <c r="B39" s="21"/>
      <c r="C39" s="21"/>
      <c r="D39" s="22"/>
      <c r="E39" s="22"/>
      <c r="F39" s="23"/>
      <c r="G39" s="22"/>
      <c r="H39" s="22"/>
      <c r="I39" s="16" t="str">
        <f t="shared" si="0"/>
        <v/>
      </c>
      <c r="J39" s="22"/>
      <c r="K39" s="22"/>
      <c r="L39" s="16" t="str">
        <f t="shared" si="1"/>
        <v/>
      </c>
      <c r="M39" s="22"/>
      <c r="N39" s="22"/>
      <c r="O39" s="16" t="str">
        <f t="shared" si="2"/>
        <v/>
      </c>
      <c r="P39" s="22"/>
      <c r="Q39" s="22"/>
      <c r="R39" s="16" t="str">
        <f t="shared" si="3"/>
        <v/>
      </c>
      <c r="S39" s="22"/>
      <c r="T39" s="22"/>
      <c r="U39" s="16" t="str">
        <f t="shared" si="4"/>
        <v/>
      </c>
      <c r="V39" s="17" t="str">
        <f t="shared" si="5"/>
        <v/>
      </c>
      <c r="W39" s="18" t="str">
        <f>IF(V39="","",IF(V39&gt;=Legend!$C$14,"GREEN",IF(V39&gt;=Legend!$C$15,"YELLOW",IF(V39&gt;=Legend!$C$16,"ORANGE","RED"))))</f>
        <v/>
      </c>
      <c r="X39" s="19" t="str">
        <f>IF(AND(I39&lt;&gt;"",I39&lt;Legend!$C$14),"Accuracy, ","")&amp;IF(AND(L39&lt;&gt;"",L39&lt;Legend!$C$14),"Completeness, ","")&amp;IF(AND(O39&lt;&gt;"",O39&lt;Legend!$C$14),"Consistency, ","")&amp;IF(AND(R39&lt;&gt;"",R39&lt;Legend!$C$14),"Timeliness, ","")&amp;IF(AND(U39&lt;&gt;"",U39&lt;Legend!$C$14),"Validity, ","")</f>
        <v/>
      </c>
      <c r="Y39" s="20" t="str">
        <f t="shared" si="6"/>
        <v/>
      </c>
    </row>
    <row r="40" spans="1:25" ht="15.75" customHeight="1" x14ac:dyDescent="0.25">
      <c r="A40" s="11" t="str">
        <f t="shared" si="7"/>
        <v/>
      </c>
      <c r="B40" s="21"/>
      <c r="C40" s="21"/>
      <c r="D40" s="22"/>
      <c r="E40" s="22"/>
      <c r="F40" s="23"/>
      <c r="G40" s="22"/>
      <c r="H40" s="22"/>
      <c r="I40" s="16" t="str">
        <f t="shared" si="0"/>
        <v/>
      </c>
      <c r="J40" s="22"/>
      <c r="K40" s="22"/>
      <c r="L40" s="16" t="str">
        <f t="shared" si="1"/>
        <v/>
      </c>
      <c r="M40" s="22"/>
      <c r="N40" s="22"/>
      <c r="O40" s="16" t="str">
        <f t="shared" si="2"/>
        <v/>
      </c>
      <c r="P40" s="22"/>
      <c r="Q40" s="22"/>
      <c r="R40" s="16" t="str">
        <f t="shared" si="3"/>
        <v/>
      </c>
      <c r="S40" s="22"/>
      <c r="T40" s="22"/>
      <c r="U40" s="16" t="str">
        <f t="shared" si="4"/>
        <v/>
      </c>
      <c r="V40" s="17" t="str">
        <f t="shared" si="5"/>
        <v/>
      </c>
      <c r="W40" s="18" t="str">
        <f>IF(V40="","",IF(V40&gt;=Legend!$C$14,"GREEN",IF(V40&gt;=Legend!$C$15,"YELLOW",IF(V40&gt;=Legend!$C$16,"ORANGE","RED"))))</f>
        <v/>
      </c>
      <c r="X40" s="19" t="str">
        <f>IF(AND(I40&lt;&gt;"",I40&lt;Legend!$C$14),"Accuracy, ","")&amp;IF(AND(L40&lt;&gt;"",L40&lt;Legend!$C$14),"Completeness, ","")&amp;IF(AND(O40&lt;&gt;"",O40&lt;Legend!$C$14),"Consistency, ","")&amp;IF(AND(R40&lt;&gt;"",R40&lt;Legend!$C$14),"Timeliness, ","")&amp;IF(AND(U40&lt;&gt;"",U40&lt;Legend!$C$14),"Validity, ","")</f>
        <v/>
      </c>
      <c r="Y40" s="20" t="str">
        <f t="shared" si="6"/>
        <v/>
      </c>
    </row>
    <row r="41" spans="1:25" ht="15.75" customHeight="1" x14ac:dyDescent="0.25">
      <c r="A41" s="11" t="str">
        <f t="shared" si="7"/>
        <v/>
      </c>
      <c r="B41" s="21"/>
      <c r="C41" s="21"/>
      <c r="D41" s="22"/>
      <c r="E41" s="22"/>
      <c r="F41" s="23"/>
      <c r="G41" s="22"/>
      <c r="H41" s="22"/>
      <c r="I41" s="16" t="str">
        <f t="shared" si="0"/>
        <v/>
      </c>
      <c r="J41" s="22"/>
      <c r="K41" s="22"/>
      <c r="L41" s="16" t="str">
        <f t="shared" si="1"/>
        <v/>
      </c>
      <c r="M41" s="22"/>
      <c r="N41" s="22"/>
      <c r="O41" s="16" t="str">
        <f t="shared" si="2"/>
        <v/>
      </c>
      <c r="P41" s="22"/>
      <c r="Q41" s="22"/>
      <c r="R41" s="16" t="str">
        <f t="shared" si="3"/>
        <v/>
      </c>
      <c r="S41" s="22"/>
      <c r="T41" s="22"/>
      <c r="U41" s="16" t="str">
        <f t="shared" si="4"/>
        <v/>
      </c>
      <c r="V41" s="17" t="str">
        <f t="shared" si="5"/>
        <v/>
      </c>
      <c r="W41" s="18" t="str">
        <f>IF(V41="","",IF(V41&gt;=Legend!$C$14,"GREEN",IF(V41&gt;=Legend!$C$15,"YELLOW",IF(V41&gt;=Legend!$C$16,"ORANGE","RED"))))</f>
        <v/>
      </c>
      <c r="X41" s="19" t="str">
        <f>IF(AND(I41&lt;&gt;"",I41&lt;Legend!$C$14),"Accuracy, ","")&amp;IF(AND(L41&lt;&gt;"",L41&lt;Legend!$C$14),"Completeness, ","")&amp;IF(AND(O41&lt;&gt;"",O41&lt;Legend!$C$14),"Consistency, ","")&amp;IF(AND(R41&lt;&gt;"",R41&lt;Legend!$C$14),"Timeliness, ","")&amp;IF(AND(U41&lt;&gt;"",U41&lt;Legend!$C$14),"Validity, ","")</f>
        <v/>
      </c>
      <c r="Y41" s="20" t="str">
        <f t="shared" si="6"/>
        <v/>
      </c>
    </row>
    <row r="42" spans="1:25" ht="15.75" customHeight="1" x14ac:dyDescent="0.25">
      <c r="A42" s="11" t="str">
        <f t="shared" si="7"/>
        <v/>
      </c>
      <c r="B42" s="21"/>
      <c r="C42" s="21"/>
      <c r="D42" s="22"/>
      <c r="E42" s="22"/>
      <c r="F42" s="23"/>
      <c r="G42" s="22"/>
      <c r="H42" s="22"/>
      <c r="I42" s="16" t="str">
        <f t="shared" si="0"/>
        <v/>
      </c>
      <c r="J42" s="22"/>
      <c r="K42" s="22"/>
      <c r="L42" s="16" t="str">
        <f t="shared" si="1"/>
        <v/>
      </c>
      <c r="M42" s="22"/>
      <c r="N42" s="22"/>
      <c r="O42" s="16" t="str">
        <f t="shared" si="2"/>
        <v/>
      </c>
      <c r="P42" s="22"/>
      <c r="Q42" s="22"/>
      <c r="R42" s="16" t="str">
        <f t="shared" si="3"/>
        <v/>
      </c>
      <c r="S42" s="22"/>
      <c r="T42" s="22"/>
      <c r="U42" s="16" t="str">
        <f t="shared" si="4"/>
        <v/>
      </c>
      <c r="V42" s="17" t="str">
        <f t="shared" si="5"/>
        <v/>
      </c>
      <c r="W42" s="18" t="str">
        <f>IF(V42="","",IF(V42&gt;=Legend!$C$14,"GREEN",IF(V42&gt;=Legend!$C$15,"YELLOW",IF(V42&gt;=Legend!$C$16,"ORANGE","RED"))))</f>
        <v/>
      </c>
      <c r="X42" s="19" t="str">
        <f>IF(AND(I42&lt;&gt;"",I42&lt;Legend!$C$14),"Accuracy, ","")&amp;IF(AND(L42&lt;&gt;"",L42&lt;Legend!$C$14),"Completeness, ","")&amp;IF(AND(O42&lt;&gt;"",O42&lt;Legend!$C$14),"Consistency, ","")&amp;IF(AND(R42&lt;&gt;"",R42&lt;Legend!$C$14),"Timeliness, ","")&amp;IF(AND(U42&lt;&gt;"",U42&lt;Legend!$C$14),"Validity, ","")</f>
        <v/>
      </c>
      <c r="Y42" s="20" t="str">
        <f t="shared" si="6"/>
        <v/>
      </c>
    </row>
    <row r="43" spans="1:25" ht="15.75" customHeight="1" x14ac:dyDescent="0.25">
      <c r="A43" s="11" t="str">
        <f t="shared" si="7"/>
        <v/>
      </c>
      <c r="B43" s="21"/>
      <c r="C43" s="21"/>
      <c r="D43" s="22"/>
      <c r="E43" s="22"/>
      <c r="F43" s="23"/>
      <c r="G43" s="22"/>
      <c r="H43" s="22"/>
      <c r="I43" s="16" t="str">
        <f t="shared" si="0"/>
        <v/>
      </c>
      <c r="J43" s="22"/>
      <c r="K43" s="22"/>
      <c r="L43" s="16" t="str">
        <f t="shared" si="1"/>
        <v/>
      </c>
      <c r="M43" s="22"/>
      <c r="N43" s="22"/>
      <c r="O43" s="16" t="str">
        <f t="shared" si="2"/>
        <v/>
      </c>
      <c r="P43" s="22"/>
      <c r="Q43" s="22"/>
      <c r="R43" s="16" t="str">
        <f t="shared" si="3"/>
        <v/>
      </c>
      <c r="S43" s="22"/>
      <c r="T43" s="22"/>
      <c r="U43" s="16" t="str">
        <f t="shared" si="4"/>
        <v/>
      </c>
      <c r="V43" s="17" t="str">
        <f t="shared" si="5"/>
        <v/>
      </c>
      <c r="W43" s="18" t="str">
        <f>IF(V43="","",IF(V43&gt;=Legend!$C$14,"GREEN",IF(V43&gt;=Legend!$C$15,"YELLOW",IF(V43&gt;=Legend!$C$16,"ORANGE","RED"))))</f>
        <v/>
      </c>
      <c r="X43" s="19" t="str">
        <f>IF(AND(I43&lt;&gt;"",I43&lt;Legend!$C$14),"Accuracy, ","")&amp;IF(AND(L43&lt;&gt;"",L43&lt;Legend!$C$14),"Completeness, ","")&amp;IF(AND(O43&lt;&gt;"",O43&lt;Legend!$C$14),"Consistency, ","")&amp;IF(AND(R43&lt;&gt;"",R43&lt;Legend!$C$14),"Timeliness, ","")&amp;IF(AND(U43&lt;&gt;"",U43&lt;Legend!$C$14),"Validity, ","")</f>
        <v/>
      </c>
      <c r="Y43" s="20" t="str">
        <f t="shared" si="6"/>
        <v/>
      </c>
    </row>
    <row r="44" spans="1:25" ht="15.75" customHeight="1" x14ac:dyDescent="0.25">
      <c r="A44" s="11" t="str">
        <f t="shared" si="7"/>
        <v/>
      </c>
      <c r="B44" s="21"/>
      <c r="C44" s="21"/>
      <c r="D44" s="22"/>
      <c r="E44" s="22"/>
      <c r="F44" s="23"/>
      <c r="G44" s="22"/>
      <c r="H44" s="22"/>
      <c r="I44" s="16" t="str">
        <f t="shared" si="0"/>
        <v/>
      </c>
      <c r="J44" s="22"/>
      <c r="K44" s="22"/>
      <c r="L44" s="16" t="str">
        <f t="shared" si="1"/>
        <v/>
      </c>
      <c r="M44" s="22"/>
      <c r="N44" s="22"/>
      <c r="O44" s="16" t="str">
        <f t="shared" si="2"/>
        <v/>
      </c>
      <c r="P44" s="22"/>
      <c r="Q44" s="22"/>
      <c r="R44" s="16" t="str">
        <f t="shared" si="3"/>
        <v/>
      </c>
      <c r="S44" s="22"/>
      <c r="T44" s="22"/>
      <c r="U44" s="16" t="str">
        <f t="shared" si="4"/>
        <v/>
      </c>
      <c r="V44" s="17" t="str">
        <f t="shared" si="5"/>
        <v/>
      </c>
      <c r="W44" s="18" t="str">
        <f>IF(V44="","",IF(V44&gt;=Legend!$C$14,"GREEN",IF(V44&gt;=Legend!$C$15,"YELLOW",IF(V44&gt;=Legend!$C$16,"ORANGE","RED"))))</f>
        <v/>
      </c>
      <c r="X44" s="19" t="str">
        <f>IF(AND(I44&lt;&gt;"",I44&lt;Legend!$C$14),"Accuracy, ","")&amp;IF(AND(L44&lt;&gt;"",L44&lt;Legend!$C$14),"Completeness, ","")&amp;IF(AND(O44&lt;&gt;"",O44&lt;Legend!$C$14),"Consistency, ","")&amp;IF(AND(R44&lt;&gt;"",R44&lt;Legend!$C$14),"Timeliness, ","")&amp;IF(AND(U44&lt;&gt;"",U44&lt;Legend!$C$14),"Validity, ","")</f>
        <v/>
      </c>
      <c r="Y44" s="20" t="str">
        <f t="shared" si="6"/>
        <v/>
      </c>
    </row>
    <row r="45" spans="1:25" ht="15.75" customHeight="1" x14ac:dyDescent="0.25">
      <c r="A45" s="11" t="str">
        <f t="shared" si="7"/>
        <v/>
      </c>
      <c r="B45" s="21"/>
      <c r="C45" s="21"/>
      <c r="D45" s="22"/>
      <c r="E45" s="22"/>
      <c r="F45" s="23"/>
      <c r="G45" s="22"/>
      <c r="H45" s="22"/>
      <c r="I45" s="16" t="str">
        <f t="shared" si="0"/>
        <v/>
      </c>
      <c r="J45" s="22"/>
      <c r="K45" s="22"/>
      <c r="L45" s="16" t="str">
        <f t="shared" si="1"/>
        <v/>
      </c>
      <c r="M45" s="22"/>
      <c r="N45" s="22"/>
      <c r="O45" s="16" t="str">
        <f t="shared" si="2"/>
        <v/>
      </c>
      <c r="P45" s="22"/>
      <c r="Q45" s="22"/>
      <c r="R45" s="16" t="str">
        <f t="shared" si="3"/>
        <v/>
      </c>
      <c r="S45" s="22"/>
      <c r="T45" s="22"/>
      <c r="U45" s="16" t="str">
        <f t="shared" si="4"/>
        <v/>
      </c>
      <c r="V45" s="17" t="str">
        <f t="shared" si="5"/>
        <v/>
      </c>
      <c r="W45" s="18" t="str">
        <f>IF(V45="","",IF(V45&gt;=Legend!$C$14,"GREEN",IF(V45&gt;=Legend!$C$15,"YELLOW",IF(V45&gt;=Legend!$C$16,"ORANGE","RED"))))</f>
        <v/>
      </c>
      <c r="X45" s="19" t="str">
        <f>IF(AND(I45&lt;&gt;"",I45&lt;Legend!$C$14),"Accuracy, ","")&amp;IF(AND(L45&lt;&gt;"",L45&lt;Legend!$C$14),"Completeness, ","")&amp;IF(AND(O45&lt;&gt;"",O45&lt;Legend!$C$14),"Consistency, ","")&amp;IF(AND(R45&lt;&gt;"",R45&lt;Legend!$C$14),"Timeliness, ","")&amp;IF(AND(U45&lt;&gt;"",U45&lt;Legend!$C$14),"Validity, ","")</f>
        <v/>
      </c>
      <c r="Y45" s="20" t="str">
        <f t="shared" si="6"/>
        <v/>
      </c>
    </row>
    <row r="46" spans="1:25" ht="15.75" customHeight="1" x14ac:dyDescent="0.25">
      <c r="A46" s="11" t="str">
        <f t="shared" si="7"/>
        <v/>
      </c>
      <c r="B46" s="21"/>
      <c r="C46" s="21"/>
      <c r="D46" s="22"/>
      <c r="E46" s="22"/>
      <c r="F46" s="23"/>
      <c r="G46" s="22"/>
      <c r="H46" s="22"/>
      <c r="I46" s="16" t="str">
        <f t="shared" si="0"/>
        <v/>
      </c>
      <c r="J46" s="22"/>
      <c r="K46" s="22"/>
      <c r="L46" s="16" t="str">
        <f t="shared" si="1"/>
        <v/>
      </c>
      <c r="M46" s="22"/>
      <c r="N46" s="22"/>
      <c r="O46" s="16" t="str">
        <f t="shared" si="2"/>
        <v/>
      </c>
      <c r="P46" s="22"/>
      <c r="Q46" s="22"/>
      <c r="R46" s="16" t="str">
        <f t="shared" si="3"/>
        <v/>
      </c>
      <c r="S46" s="22"/>
      <c r="T46" s="22"/>
      <c r="U46" s="16" t="str">
        <f t="shared" si="4"/>
        <v/>
      </c>
      <c r="V46" s="17" t="str">
        <f t="shared" si="5"/>
        <v/>
      </c>
      <c r="W46" s="18" t="str">
        <f>IF(V46="","",IF(V46&gt;=Legend!$C$14,"GREEN",IF(V46&gt;=Legend!$C$15,"YELLOW",IF(V46&gt;=Legend!$C$16,"ORANGE","RED"))))</f>
        <v/>
      </c>
      <c r="X46" s="19" t="str">
        <f>IF(AND(I46&lt;&gt;"",I46&lt;Legend!$C$14),"Accuracy, ","")&amp;IF(AND(L46&lt;&gt;"",L46&lt;Legend!$C$14),"Completeness, ","")&amp;IF(AND(O46&lt;&gt;"",O46&lt;Legend!$C$14),"Consistency, ","")&amp;IF(AND(R46&lt;&gt;"",R46&lt;Legend!$C$14),"Timeliness, ","")&amp;IF(AND(U46&lt;&gt;"",U46&lt;Legend!$C$14),"Validity, ","")</f>
        <v/>
      </c>
      <c r="Y46" s="20" t="str">
        <f t="shared" si="6"/>
        <v/>
      </c>
    </row>
    <row r="47" spans="1:25" ht="15.75" customHeight="1" x14ac:dyDescent="0.25">
      <c r="A47" s="11" t="str">
        <f t="shared" si="7"/>
        <v/>
      </c>
      <c r="B47" s="21"/>
      <c r="C47" s="21"/>
      <c r="D47" s="22"/>
      <c r="E47" s="22"/>
      <c r="F47" s="23"/>
      <c r="G47" s="22"/>
      <c r="H47" s="22"/>
      <c r="I47" s="16" t="str">
        <f t="shared" si="0"/>
        <v/>
      </c>
      <c r="J47" s="22"/>
      <c r="K47" s="22"/>
      <c r="L47" s="16" t="str">
        <f t="shared" si="1"/>
        <v/>
      </c>
      <c r="M47" s="22"/>
      <c r="N47" s="22"/>
      <c r="O47" s="16" t="str">
        <f t="shared" si="2"/>
        <v/>
      </c>
      <c r="P47" s="22"/>
      <c r="Q47" s="22"/>
      <c r="R47" s="16" t="str">
        <f t="shared" si="3"/>
        <v/>
      </c>
      <c r="S47" s="22"/>
      <c r="T47" s="22"/>
      <c r="U47" s="16" t="str">
        <f t="shared" si="4"/>
        <v/>
      </c>
      <c r="V47" s="17" t="str">
        <f t="shared" si="5"/>
        <v/>
      </c>
      <c r="W47" s="18" t="str">
        <f>IF(V47="","",IF(V47&gt;=Legend!$C$14,"GREEN",IF(V47&gt;=Legend!$C$15,"YELLOW",IF(V47&gt;=Legend!$C$16,"ORANGE","RED"))))</f>
        <v/>
      </c>
      <c r="X47" s="19" t="str">
        <f>IF(AND(I47&lt;&gt;"",I47&lt;Legend!$C$14),"Accuracy, ","")&amp;IF(AND(L47&lt;&gt;"",L47&lt;Legend!$C$14),"Completeness, ","")&amp;IF(AND(O47&lt;&gt;"",O47&lt;Legend!$C$14),"Consistency, ","")&amp;IF(AND(R47&lt;&gt;"",R47&lt;Legend!$C$14),"Timeliness, ","")&amp;IF(AND(U47&lt;&gt;"",U47&lt;Legend!$C$14),"Validity, ","")</f>
        <v/>
      </c>
      <c r="Y47" s="20" t="str">
        <f t="shared" si="6"/>
        <v/>
      </c>
    </row>
    <row r="48" spans="1:25" ht="15.75" customHeight="1" x14ac:dyDescent="0.25">
      <c r="A48" s="11" t="str">
        <f t="shared" si="7"/>
        <v/>
      </c>
      <c r="B48" s="21"/>
      <c r="C48" s="21"/>
      <c r="D48" s="22"/>
      <c r="E48" s="22"/>
      <c r="F48" s="23"/>
      <c r="G48" s="22"/>
      <c r="H48" s="22"/>
      <c r="I48" s="16" t="str">
        <f t="shared" si="0"/>
        <v/>
      </c>
      <c r="J48" s="22"/>
      <c r="K48" s="22"/>
      <c r="L48" s="16" t="str">
        <f t="shared" si="1"/>
        <v/>
      </c>
      <c r="M48" s="22"/>
      <c r="N48" s="22"/>
      <c r="O48" s="16" t="str">
        <f t="shared" si="2"/>
        <v/>
      </c>
      <c r="P48" s="22"/>
      <c r="Q48" s="22"/>
      <c r="R48" s="16" t="str">
        <f t="shared" si="3"/>
        <v/>
      </c>
      <c r="S48" s="22"/>
      <c r="T48" s="22"/>
      <c r="U48" s="16" t="str">
        <f t="shared" si="4"/>
        <v/>
      </c>
      <c r="V48" s="17" t="str">
        <f t="shared" si="5"/>
        <v/>
      </c>
      <c r="W48" s="18" t="str">
        <f>IF(V48="","",IF(V48&gt;=Legend!$C$14,"GREEN",IF(V48&gt;=Legend!$C$15,"YELLOW",IF(V48&gt;=Legend!$C$16,"ORANGE","RED"))))</f>
        <v/>
      </c>
      <c r="X48" s="19" t="str">
        <f>IF(AND(I48&lt;&gt;"",I48&lt;Legend!$C$14),"Accuracy, ","")&amp;IF(AND(L48&lt;&gt;"",L48&lt;Legend!$C$14),"Completeness, ","")&amp;IF(AND(O48&lt;&gt;"",O48&lt;Legend!$C$14),"Consistency, ","")&amp;IF(AND(R48&lt;&gt;"",R48&lt;Legend!$C$14),"Timeliness, ","")&amp;IF(AND(U48&lt;&gt;"",U48&lt;Legend!$C$14),"Validity, ","")</f>
        <v/>
      </c>
      <c r="Y48" s="20" t="str">
        <f t="shared" si="6"/>
        <v/>
      </c>
    </row>
    <row r="49" spans="1:25" ht="15.75" customHeight="1" x14ac:dyDescent="0.25">
      <c r="A49" s="11" t="str">
        <f t="shared" si="7"/>
        <v/>
      </c>
      <c r="B49" s="21"/>
      <c r="C49" s="21"/>
      <c r="D49" s="22"/>
      <c r="E49" s="22"/>
      <c r="F49" s="23"/>
      <c r="G49" s="22"/>
      <c r="H49" s="22"/>
      <c r="I49" s="16" t="str">
        <f t="shared" si="0"/>
        <v/>
      </c>
      <c r="J49" s="22"/>
      <c r="K49" s="22"/>
      <c r="L49" s="16" t="str">
        <f t="shared" si="1"/>
        <v/>
      </c>
      <c r="M49" s="22"/>
      <c r="N49" s="22"/>
      <c r="O49" s="16" t="str">
        <f t="shared" si="2"/>
        <v/>
      </c>
      <c r="P49" s="22"/>
      <c r="Q49" s="22"/>
      <c r="R49" s="16" t="str">
        <f t="shared" si="3"/>
        <v/>
      </c>
      <c r="S49" s="22"/>
      <c r="T49" s="22"/>
      <c r="U49" s="16" t="str">
        <f t="shared" si="4"/>
        <v/>
      </c>
      <c r="V49" s="17" t="str">
        <f t="shared" si="5"/>
        <v/>
      </c>
      <c r="W49" s="18" t="str">
        <f>IF(V49="","",IF(V49&gt;=Legend!$C$14,"GREEN",IF(V49&gt;=Legend!$C$15,"YELLOW",IF(V49&gt;=Legend!$C$16,"ORANGE","RED"))))</f>
        <v/>
      </c>
      <c r="X49" s="19" t="str">
        <f>IF(AND(I49&lt;&gt;"",I49&lt;Legend!$C$14),"Accuracy, ","")&amp;IF(AND(L49&lt;&gt;"",L49&lt;Legend!$C$14),"Completeness, ","")&amp;IF(AND(O49&lt;&gt;"",O49&lt;Legend!$C$14),"Consistency, ","")&amp;IF(AND(R49&lt;&gt;"",R49&lt;Legend!$C$14),"Timeliness, ","")&amp;IF(AND(U49&lt;&gt;"",U49&lt;Legend!$C$14),"Validity, ","")</f>
        <v/>
      </c>
      <c r="Y49" s="20" t="str">
        <f t="shared" si="6"/>
        <v/>
      </c>
    </row>
    <row r="50" spans="1:25" ht="15.75" customHeight="1" x14ac:dyDescent="0.25">
      <c r="A50" s="11" t="str">
        <f t="shared" si="7"/>
        <v/>
      </c>
      <c r="B50" s="21"/>
      <c r="C50" s="21"/>
      <c r="D50" s="22"/>
      <c r="E50" s="22"/>
      <c r="F50" s="23"/>
      <c r="G50" s="22"/>
      <c r="H50" s="22"/>
      <c r="I50" s="16" t="str">
        <f t="shared" si="0"/>
        <v/>
      </c>
      <c r="J50" s="22"/>
      <c r="K50" s="22"/>
      <c r="L50" s="16" t="str">
        <f t="shared" si="1"/>
        <v/>
      </c>
      <c r="M50" s="22"/>
      <c r="N50" s="22"/>
      <c r="O50" s="16" t="str">
        <f t="shared" si="2"/>
        <v/>
      </c>
      <c r="P50" s="22"/>
      <c r="Q50" s="22"/>
      <c r="R50" s="16" t="str">
        <f t="shared" si="3"/>
        <v/>
      </c>
      <c r="S50" s="22"/>
      <c r="T50" s="22"/>
      <c r="U50" s="16" t="str">
        <f t="shared" si="4"/>
        <v/>
      </c>
      <c r="V50" s="17" t="str">
        <f t="shared" si="5"/>
        <v/>
      </c>
      <c r="W50" s="18" t="str">
        <f>IF(V50="","",IF(V50&gt;=Legend!$C$14,"GREEN",IF(V50&gt;=Legend!$C$15,"YELLOW",IF(V50&gt;=Legend!$C$16,"ORANGE","RED"))))</f>
        <v/>
      </c>
      <c r="X50" s="19" t="str">
        <f>IF(AND(I50&lt;&gt;"",I50&lt;Legend!$C$14),"Accuracy, ","")&amp;IF(AND(L50&lt;&gt;"",L50&lt;Legend!$C$14),"Completeness, ","")&amp;IF(AND(O50&lt;&gt;"",O50&lt;Legend!$C$14),"Consistency, ","")&amp;IF(AND(R50&lt;&gt;"",R50&lt;Legend!$C$14),"Timeliness, ","")&amp;IF(AND(U50&lt;&gt;"",U50&lt;Legend!$C$14),"Validity, ","")</f>
        <v/>
      </c>
      <c r="Y50" s="20" t="str">
        <f t="shared" si="6"/>
        <v/>
      </c>
    </row>
    <row r="51" spans="1:25" ht="15.75" customHeight="1" x14ac:dyDescent="0.25">
      <c r="A51" s="11" t="str">
        <f t="shared" si="7"/>
        <v/>
      </c>
      <c r="B51" s="21"/>
      <c r="C51" s="21"/>
      <c r="D51" s="22"/>
      <c r="E51" s="22"/>
      <c r="F51" s="23"/>
      <c r="G51" s="22"/>
      <c r="H51" s="22"/>
      <c r="I51" s="16" t="str">
        <f t="shared" si="0"/>
        <v/>
      </c>
      <c r="J51" s="22"/>
      <c r="K51" s="22"/>
      <c r="L51" s="16" t="str">
        <f t="shared" si="1"/>
        <v/>
      </c>
      <c r="M51" s="22"/>
      <c r="N51" s="22"/>
      <c r="O51" s="16" t="str">
        <f t="shared" si="2"/>
        <v/>
      </c>
      <c r="P51" s="22"/>
      <c r="Q51" s="22"/>
      <c r="R51" s="16" t="str">
        <f t="shared" si="3"/>
        <v/>
      </c>
      <c r="S51" s="22"/>
      <c r="T51" s="22"/>
      <c r="U51" s="16" t="str">
        <f t="shared" si="4"/>
        <v/>
      </c>
      <c r="V51" s="17" t="str">
        <f t="shared" si="5"/>
        <v/>
      </c>
      <c r="W51" s="18" t="str">
        <f>IF(V51="","",IF(V51&gt;=Legend!$C$14,"GREEN",IF(V51&gt;=Legend!$C$15,"YELLOW",IF(V51&gt;=Legend!$C$16,"ORANGE","RED"))))</f>
        <v/>
      </c>
      <c r="X51" s="19" t="str">
        <f>IF(AND(I51&lt;&gt;"",I51&lt;Legend!$C$14),"Accuracy, ","")&amp;IF(AND(L51&lt;&gt;"",L51&lt;Legend!$C$14),"Completeness, ","")&amp;IF(AND(O51&lt;&gt;"",O51&lt;Legend!$C$14),"Consistency, ","")&amp;IF(AND(R51&lt;&gt;"",R51&lt;Legend!$C$14),"Timeliness, ","")&amp;IF(AND(U51&lt;&gt;"",U51&lt;Legend!$C$14),"Validity, ","")</f>
        <v/>
      </c>
      <c r="Y51" s="20" t="str">
        <f t="shared" si="6"/>
        <v/>
      </c>
    </row>
    <row r="52" spans="1:25" ht="15.75" customHeight="1" x14ac:dyDescent="0.25">
      <c r="A52" s="11" t="str">
        <f t="shared" si="7"/>
        <v/>
      </c>
      <c r="B52" s="21"/>
      <c r="C52" s="21"/>
      <c r="D52" s="22"/>
      <c r="E52" s="22"/>
      <c r="F52" s="23"/>
      <c r="G52" s="22"/>
      <c r="H52" s="22"/>
      <c r="I52" s="16" t="str">
        <f t="shared" si="0"/>
        <v/>
      </c>
      <c r="J52" s="22"/>
      <c r="K52" s="22"/>
      <c r="L52" s="16" t="str">
        <f t="shared" si="1"/>
        <v/>
      </c>
      <c r="M52" s="22"/>
      <c r="N52" s="22"/>
      <c r="O52" s="16" t="str">
        <f t="shared" si="2"/>
        <v/>
      </c>
      <c r="P52" s="22"/>
      <c r="Q52" s="22"/>
      <c r="R52" s="16" t="str">
        <f t="shared" si="3"/>
        <v/>
      </c>
      <c r="S52" s="22"/>
      <c r="T52" s="22"/>
      <c r="U52" s="16" t="str">
        <f t="shared" si="4"/>
        <v/>
      </c>
      <c r="V52" s="17" t="str">
        <f t="shared" si="5"/>
        <v/>
      </c>
      <c r="W52" s="18" t="str">
        <f>IF(V52="","",IF(V52&gt;=Legend!$C$14,"GREEN",IF(V52&gt;=Legend!$C$15,"YELLOW",IF(V52&gt;=Legend!$C$16,"ORANGE","RED"))))</f>
        <v/>
      </c>
      <c r="X52" s="19" t="str">
        <f>IF(AND(I52&lt;&gt;"",I52&lt;Legend!$C$14),"Accuracy, ","")&amp;IF(AND(L52&lt;&gt;"",L52&lt;Legend!$C$14),"Completeness, ","")&amp;IF(AND(O52&lt;&gt;"",O52&lt;Legend!$C$14),"Consistency, ","")&amp;IF(AND(R52&lt;&gt;"",R52&lt;Legend!$C$14),"Timeliness, ","")&amp;IF(AND(U52&lt;&gt;"",U52&lt;Legend!$C$14),"Validity, ","")</f>
        <v/>
      </c>
      <c r="Y52" s="20" t="str">
        <f t="shared" si="6"/>
        <v/>
      </c>
    </row>
    <row r="53" spans="1:25" ht="15.75" customHeight="1" x14ac:dyDescent="0.25">
      <c r="A53" s="11" t="str">
        <f t="shared" si="7"/>
        <v/>
      </c>
      <c r="B53" s="21"/>
      <c r="C53" s="21"/>
      <c r="D53" s="22"/>
      <c r="E53" s="22"/>
      <c r="F53" s="23"/>
      <c r="G53" s="22"/>
      <c r="H53" s="22"/>
      <c r="I53" s="16" t="str">
        <f t="shared" si="0"/>
        <v/>
      </c>
      <c r="J53" s="22"/>
      <c r="K53" s="22"/>
      <c r="L53" s="16" t="str">
        <f t="shared" si="1"/>
        <v/>
      </c>
      <c r="M53" s="22"/>
      <c r="N53" s="22"/>
      <c r="O53" s="16" t="str">
        <f t="shared" si="2"/>
        <v/>
      </c>
      <c r="P53" s="22"/>
      <c r="Q53" s="22"/>
      <c r="R53" s="16" t="str">
        <f t="shared" si="3"/>
        <v/>
      </c>
      <c r="S53" s="22"/>
      <c r="T53" s="22"/>
      <c r="U53" s="16" t="str">
        <f t="shared" si="4"/>
        <v/>
      </c>
      <c r="V53" s="17" t="str">
        <f t="shared" si="5"/>
        <v/>
      </c>
      <c r="W53" s="18" t="str">
        <f>IF(V53="","",IF(V53&gt;=Legend!$C$14,"GREEN",IF(V53&gt;=Legend!$C$15,"YELLOW",IF(V53&gt;=Legend!$C$16,"ORANGE","RED"))))</f>
        <v/>
      </c>
      <c r="X53" s="19" t="str">
        <f>IF(AND(I53&lt;&gt;"",I53&lt;Legend!$C$14),"Accuracy, ","")&amp;IF(AND(L53&lt;&gt;"",L53&lt;Legend!$C$14),"Completeness, ","")&amp;IF(AND(O53&lt;&gt;"",O53&lt;Legend!$C$14),"Consistency, ","")&amp;IF(AND(R53&lt;&gt;"",R53&lt;Legend!$C$14),"Timeliness, ","")&amp;IF(AND(U53&lt;&gt;"",U53&lt;Legend!$C$14),"Validity, ","")</f>
        <v/>
      </c>
      <c r="Y53" s="20" t="str">
        <f t="shared" si="6"/>
        <v/>
      </c>
    </row>
    <row r="54" spans="1:25" ht="15.75" customHeight="1" x14ac:dyDescent="0.25">
      <c r="A54" s="11" t="str">
        <f t="shared" si="7"/>
        <v/>
      </c>
      <c r="B54" s="21"/>
      <c r="C54" s="21"/>
      <c r="D54" s="22"/>
      <c r="E54" s="22"/>
      <c r="F54" s="23"/>
      <c r="G54" s="22"/>
      <c r="H54" s="22"/>
      <c r="I54" s="16" t="str">
        <f t="shared" si="0"/>
        <v/>
      </c>
      <c r="J54" s="22"/>
      <c r="K54" s="22"/>
      <c r="L54" s="16" t="str">
        <f t="shared" si="1"/>
        <v/>
      </c>
      <c r="M54" s="22"/>
      <c r="N54" s="22"/>
      <c r="O54" s="16" t="str">
        <f t="shared" si="2"/>
        <v/>
      </c>
      <c r="P54" s="22"/>
      <c r="Q54" s="22"/>
      <c r="R54" s="16" t="str">
        <f t="shared" si="3"/>
        <v/>
      </c>
      <c r="S54" s="22"/>
      <c r="T54" s="22"/>
      <c r="U54" s="16" t="str">
        <f t="shared" si="4"/>
        <v/>
      </c>
      <c r="V54" s="17" t="str">
        <f t="shared" si="5"/>
        <v/>
      </c>
      <c r="W54" s="18" t="str">
        <f>IF(V54="","",IF(V54&gt;=Legend!$C$14,"GREEN",IF(V54&gt;=Legend!$C$15,"YELLOW",IF(V54&gt;=Legend!$C$16,"ORANGE","RED"))))</f>
        <v/>
      </c>
      <c r="X54" s="19" t="str">
        <f>IF(AND(I54&lt;&gt;"",I54&lt;Legend!$C$14),"Accuracy, ","")&amp;IF(AND(L54&lt;&gt;"",L54&lt;Legend!$C$14),"Completeness, ","")&amp;IF(AND(O54&lt;&gt;"",O54&lt;Legend!$C$14),"Consistency, ","")&amp;IF(AND(R54&lt;&gt;"",R54&lt;Legend!$C$14),"Timeliness, ","")&amp;IF(AND(U54&lt;&gt;"",U54&lt;Legend!$C$14),"Validity, ","")</f>
        <v/>
      </c>
      <c r="Y54" s="20" t="str">
        <f t="shared" si="6"/>
        <v/>
      </c>
    </row>
    <row r="55" spans="1:25" ht="15.75" customHeight="1" x14ac:dyDescent="0.25">
      <c r="A55" s="11" t="str">
        <f t="shared" si="7"/>
        <v/>
      </c>
      <c r="B55" s="21"/>
      <c r="C55" s="21"/>
      <c r="D55" s="22"/>
      <c r="E55" s="22"/>
      <c r="F55" s="23"/>
      <c r="G55" s="22"/>
      <c r="H55" s="22"/>
      <c r="I55" s="16" t="str">
        <f t="shared" si="0"/>
        <v/>
      </c>
      <c r="J55" s="22"/>
      <c r="K55" s="22"/>
      <c r="L55" s="16" t="str">
        <f t="shared" si="1"/>
        <v/>
      </c>
      <c r="M55" s="22"/>
      <c r="N55" s="22"/>
      <c r="O55" s="16" t="str">
        <f t="shared" si="2"/>
        <v/>
      </c>
      <c r="P55" s="22"/>
      <c r="Q55" s="22"/>
      <c r="R55" s="16" t="str">
        <f t="shared" si="3"/>
        <v/>
      </c>
      <c r="S55" s="22"/>
      <c r="T55" s="22"/>
      <c r="U55" s="16" t="str">
        <f t="shared" si="4"/>
        <v/>
      </c>
      <c r="V55" s="17" t="str">
        <f t="shared" si="5"/>
        <v/>
      </c>
      <c r="W55" s="18" t="str">
        <f>IF(V55="","",IF(V55&gt;=Legend!$C$14,"GREEN",IF(V55&gt;=Legend!$C$15,"YELLOW",IF(V55&gt;=Legend!$C$16,"ORANGE","RED"))))</f>
        <v/>
      </c>
      <c r="X55" s="19" t="str">
        <f>IF(AND(I55&lt;&gt;"",I55&lt;Legend!$C$14),"Accuracy, ","")&amp;IF(AND(L55&lt;&gt;"",L55&lt;Legend!$C$14),"Completeness, ","")&amp;IF(AND(O55&lt;&gt;"",O55&lt;Legend!$C$14),"Consistency, ","")&amp;IF(AND(R55&lt;&gt;"",R55&lt;Legend!$C$14),"Timeliness, ","")&amp;IF(AND(U55&lt;&gt;"",U55&lt;Legend!$C$14),"Validity, ","")</f>
        <v/>
      </c>
      <c r="Y55" s="20" t="str">
        <f t="shared" si="6"/>
        <v/>
      </c>
    </row>
    <row r="56" spans="1:25" ht="15.75" customHeight="1" x14ac:dyDescent="0.25">
      <c r="A56" s="11" t="str">
        <f t="shared" si="7"/>
        <v/>
      </c>
      <c r="B56" s="21"/>
      <c r="C56" s="21"/>
      <c r="D56" s="22"/>
      <c r="E56" s="22"/>
      <c r="F56" s="23"/>
      <c r="G56" s="22"/>
      <c r="H56" s="22"/>
      <c r="I56" s="16" t="str">
        <f t="shared" si="0"/>
        <v/>
      </c>
      <c r="J56" s="22"/>
      <c r="K56" s="22"/>
      <c r="L56" s="16" t="str">
        <f t="shared" si="1"/>
        <v/>
      </c>
      <c r="M56" s="22"/>
      <c r="N56" s="22"/>
      <c r="O56" s="16" t="str">
        <f t="shared" si="2"/>
        <v/>
      </c>
      <c r="P56" s="22"/>
      <c r="Q56" s="22"/>
      <c r="R56" s="16" t="str">
        <f t="shared" si="3"/>
        <v/>
      </c>
      <c r="S56" s="22"/>
      <c r="T56" s="22"/>
      <c r="U56" s="16" t="str">
        <f t="shared" si="4"/>
        <v/>
      </c>
      <c r="V56" s="17" t="str">
        <f t="shared" si="5"/>
        <v/>
      </c>
      <c r="W56" s="18" t="str">
        <f>IF(V56="","",IF(V56&gt;=Legend!$C$14,"GREEN",IF(V56&gt;=Legend!$C$15,"YELLOW",IF(V56&gt;=Legend!$C$16,"ORANGE","RED"))))</f>
        <v/>
      </c>
      <c r="X56" s="19" t="str">
        <f>IF(AND(I56&lt;&gt;"",I56&lt;Legend!$C$14),"Accuracy, ","")&amp;IF(AND(L56&lt;&gt;"",L56&lt;Legend!$C$14),"Completeness, ","")&amp;IF(AND(O56&lt;&gt;"",O56&lt;Legend!$C$14),"Consistency, ","")&amp;IF(AND(R56&lt;&gt;"",R56&lt;Legend!$C$14),"Timeliness, ","")&amp;IF(AND(U56&lt;&gt;"",U56&lt;Legend!$C$14),"Validity, ","")</f>
        <v/>
      </c>
      <c r="Y56" s="20" t="str">
        <f t="shared" si="6"/>
        <v/>
      </c>
    </row>
    <row r="57" spans="1:25" ht="15.75" customHeight="1" x14ac:dyDescent="0.25">
      <c r="A57" s="11" t="str">
        <f t="shared" si="7"/>
        <v/>
      </c>
      <c r="B57" s="21"/>
      <c r="C57" s="21"/>
      <c r="D57" s="22"/>
      <c r="E57" s="22"/>
      <c r="F57" s="23"/>
      <c r="G57" s="22"/>
      <c r="H57" s="22"/>
      <c r="I57" s="16" t="str">
        <f t="shared" si="0"/>
        <v/>
      </c>
      <c r="J57" s="22"/>
      <c r="K57" s="22"/>
      <c r="L57" s="16" t="str">
        <f t="shared" si="1"/>
        <v/>
      </c>
      <c r="M57" s="22"/>
      <c r="N57" s="22"/>
      <c r="O57" s="16" t="str">
        <f t="shared" si="2"/>
        <v/>
      </c>
      <c r="P57" s="22"/>
      <c r="Q57" s="22"/>
      <c r="R57" s="16" t="str">
        <f t="shared" si="3"/>
        <v/>
      </c>
      <c r="S57" s="22"/>
      <c r="T57" s="22"/>
      <c r="U57" s="16" t="str">
        <f t="shared" si="4"/>
        <v/>
      </c>
      <c r="V57" s="17" t="str">
        <f t="shared" si="5"/>
        <v/>
      </c>
      <c r="W57" s="18" t="str">
        <f>IF(V57="","",IF(V57&gt;=Legend!$C$14,"GREEN",IF(V57&gt;=Legend!$C$15,"YELLOW",IF(V57&gt;=Legend!$C$16,"ORANGE","RED"))))</f>
        <v/>
      </c>
      <c r="X57" s="19" t="str">
        <f>IF(AND(I57&lt;&gt;"",I57&lt;Legend!$C$14),"Accuracy, ","")&amp;IF(AND(L57&lt;&gt;"",L57&lt;Legend!$C$14),"Completeness, ","")&amp;IF(AND(O57&lt;&gt;"",O57&lt;Legend!$C$14),"Consistency, ","")&amp;IF(AND(R57&lt;&gt;"",R57&lt;Legend!$C$14),"Timeliness, ","")&amp;IF(AND(U57&lt;&gt;"",U57&lt;Legend!$C$14),"Validity, ","")</f>
        <v/>
      </c>
      <c r="Y57" s="20" t="str">
        <f t="shared" si="6"/>
        <v/>
      </c>
    </row>
    <row r="58" spans="1:25" ht="15.75" customHeight="1" x14ac:dyDescent="0.25">
      <c r="A58" s="11" t="str">
        <f t="shared" si="7"/>
        <v/>
      </c>
      <c r="B58" s="21"/>
      <c r="C58" s="21"/>
      <c r="D58" s="22"/>
      <c r="E58" s="22"/>
      <c r="F58" s="23"/>
      <c r="G58" s="22"/>
      <c r="H58" s="22"/>
      <c r="I58" s="16" t="str">
        <f t="shared" si="0"/>
        <v/>
      </c>
      <c r="J58" s="22"/>
      <c r="K58" s="22"/>
      <c r="L58" s="16" t="str">
        <f t="shared" si="1"/>
        <v/>
      </c>
      <c r="M58" s="22"/>
      <c r="N58" s="22"/>
      <c r="O58" s="16" t="str">
        <f t="shared" si="2"/>
        <v/>
      </c>
      <c r="P58" s="22"/>
      <c r="Q58" s="22"/>
      <c r="R58" s="16" t="str">
        <f t="shared" si="3"/>
        <v/>
      </c>
      <c r="S58" s="22"/>
      <c r="T58" s="22"/>
      <c r="U58" s="16" t="str">
        <f t="shared" si="4"/>
        <v/>
      </c>
      <c r="V58" s="17" t="str">
        <f t="shared" si="5"/>
        <v/>
      </c>
      <c r="W58" s="18" t="str">
        <f>IF(V58="","",IF(V58&gt;=Legend!$C$14,"GREEN",IF(V58&gt;=Legend!$C$15,"YELLOW",IF(V58&gt;=Legend!$C$16,"ORANGE","RED"))))</f>
        <v/>
      </c>
      <c r="X58" s="19" t="str">
        <f>IF(AND(I58&lt;&gt;"",I58&lt;Legend!$C$14),"Accuracy, ","")&amp;IF(AND(L58&lt;&gt;"",L58&lt;Legend!$C$14),"Completeness, ","")&amp;IF(AND(O58&lt;&gt;"",O58&lt;Legend!$C$14),"Consistency, ","")&amp;IF(AND(R58&lt;&gt;"",R58&lt;Legend!$C$14),"Timeliness, ","")&amp;IF(AND(U58&lt;&gt;"",U58&lt;Legend!$C$14),"Validity, ","")</f>
        <v/>
      </c>
      <c r="Y58" s="20" t="str">
        <f t="shared" si="6"/>
        <v/>
      </c>
    </row>
    <row r="59" spans="1:25" ht="15.75" customHeight="1" x14ac:dyDescent="0.25">
      <c r="A59" s="11" t="str">
        <f t="shared" si="7"/>
        <v/>
      </c>
      <c r="B59" s="21"/>
      <c r="C59" s="21"/>
      <c r="D59" s="22"/>
      <c r="E59" s="22"/>
      <c r="F59" s="23"/>
      <c r="G59" s="22"/>
      <c r="H59" s="22"/>
      <c r="I59" s="16" t="str">
        <f t="shared" si="0"/>
        <v/>
      </c>
      <c r="J59" s="22"/>
      <c r="K59" s="22"/>
      <c r="L59" s="16" t="str">
        <f t="shared" si="1"/>
        <v/>
      </c>
      <c r="M59" s="22"/>
      <c r="N59" s="22"/>
      <c r="O59" s="16" t="str">
        <f t="shared" si="2"/>
        <v/>
      </c>
      <c r="P59" s="22"/>
      <c r="Q59" s="22"/>
      <c r="R59" s="16" t="str">
        <f t="shared" si="3"/>
        <v/>
      </c>
      <c r="S59" s="22"/>
      <c r="T59" s="22"/>
      <c r="U59" s="16" t="str">
        <f t="shared" si="4"/>
        <v/>
      </c>
      <c r="V59" s="17" t="str">
        <f t="shared" si="5"/>
        <v/>
      </c>
      <c r="W59" s="18" t="str">
        <f>IF(V59="","",IF(V59&gt;=Legend!$C$14,"GREEN",IF(V59&gt;=Legend!$C$15,"YELLOW",IF(V59&gt;=Legend!$C$16,"ORANGE","RED"))))</f>
        <v/>
      </c>
      <c r="X59" s="19" t="str">
        <f>IF(AND(I59&lt;&gt;"",I59&lt;Legend!$C$14),"Accuracy, ","")&amp;IF(AND(L59&lt;&gt;"",L59&lt;Legend!$C$14),"Completeness, ","")&amp;IF(AND(O59&lt;&gt;"",O59&lt;Legend!$C$14),"Consistency, ","")&amp;IF(AND(R59&lt;&gt;"",R59&lt;Legend!$C$14),"Timeliness, ","")&amp;IF(AND(U59&lt;&gt;"",U59&lt;Legend!$C$14),"Validity, ","")</f>
        <v/>
      </c>
      <c r="Y59" s="20" t="str">
        <f t="shared" si="6"/>
        <v/>
      </c>
    </row>
    <row r="60" spans="1:25" ht="15.75" customHeight="1" x14ac:dyDescent="0.25">
      <c r="A60" s="11" t="str">
        <f t="shared" si="7"/>
        <v/>
      </c>
      <c r="B60" s="21"/>
      <c r="C60" s="21"/>
      <c r="D60" s="22"/>
      <c r="E60" s="22"/>
      <c r="F60" s="23"/>
      <c r="G60" s="22"/>
      <c r="H60" s="22"/>
      <c r="I60" s="16" t="str">
        <f t="shared" si="0"/>
        <v/>
      </c>
      <c r="J60" s="22"/>
      <c r="K60" s="22"/>
      <c r="L60" s="16" t="str">
        <f t="shared" si="1"/>
        <v/>
      </c>
      <c r="M60" s="22"/>
      <c r="N60" s="22"/>
      <c r="O60" s="16" t="str">
        <f t="shared" si="2"/>
        <v/>
      </c>
      <c r="P60" s="22"/>
      <c r="Q60" s="22"/>
      <c r="R60" s="16" t="str">
        <f t="shared" si="3"/>
        <v/>
      </c>
      <c r="S60" s="22"/>
      <c r="T60" s="22"/>
      <c r="U60" s="16" t="str">
        <f t="shared" si="4"/>
        <v/>
      </c>
      <c r="V60" s="17" t="str">
        <f t="shared" si="5"/>
        <v/>
      </c>
      <c r="W60" s="18" t="str">
        <f>IF(V60="","",IF(V60&gt;=Legend!$C$14,"GREEN",IF(V60&gt;=Legend!$C$15,"YELLOW",IF(V60&gt;=Legend!$C$16,"ORANGE","RED"))))</f>
        <v/>
      </c>
      <c r="X60" s="19" t="str">
        <f>IF(AND(I60&lt;&gt;"",I60&lt;Legend!$C$14),"Accuracy, ","")&amp;IF(AND(L60&lt;&gt;"",L60&lt;Legend!$C$14),"Completeness, ","")&amp;IF(AND(O60&lt;&gt;"",O60&lt;Legend!$C$14),"Consistency, ","")&amp;IF(AND(R60&lt;&gt;"",R60&lt;Legend!$C$14),"Timeliness, ","")&amp;IF(AND(U60&lt;&gt;"",U60&lt;Legend!$C$14),"Validity, ","")</f>
        <v/>
      </c>
      <c r="Y60" s="20" t="str">
        <f t="shared" si="6"/>
        <v/>
      </c>
    </row>
    <row r="61" spans="1:25" ht="15.75" customHeight="1" x14ac:dyDescent="0.25">
      <c r="A61" s="11" t="str">
        <f t="shared" si="7"/>
        <v/>
      </c>
      <c r="B61" s="21"/>
      <c r="C61" s="21"/>
      <c r="D61" s="22"/>
      <c r="E61" s="22"/>
      <c r="F61" s="23"/>
      <c r="G61" s="22"/>
      <c r="H61" s="22"/>
      <c r="I61" s="16" t="str">
        <f t="shared" si="0"/>
        <v/>
      </c>
      <c r="J61" s="22"/>
      <c r="K61" s="22"/>
      <c r="L61" s="16" t="str">
        <f t="shared" si="1"/>
        <v/>
      </c>
      <c r="M61" s="22"/>
      <c r="N61" s="22"/>
      <c r="O61" s="16" t="str">
        <f t="shared" si="2"/>
        <v/>
      </c>
      <c r="P61" s="22"/>
      <c r="Q61" s="22"/>
      <c r="R61" s="16" t="str">
        <f t="shared" si="3"/>
        <v/>
      </c>
      <c r="S61" s="22"/>
      <c r="T61" s="22"/>
      <c r="U61" s="16" t="str">
        <f t="shared" si="4"/>
        <v/>
      </c>
      <c r="V61" s="17" t="str">
        <f t="shared" si="5"/>
        <v/>
      </c>
      <c r="W61" s="18" t="str">
        <f>IF(V61="","",IF(V61&gt;=Legend!$C$14,"GREEN",IF(V61&gt;=Legend!$C$15,"YELLOW",IF(V61&gt;=Legend!$C$16,"ORANGE","RED"))))</f>
        <v/>
      </c>
      <c r="X61" s="19" t="str">
        <f>IF(AND(I61&lt;&gt;"",I61&lt;Legend!$C$14),"Accuracy, ","")&amp;IF(AND(L61&lt;&gt;"",L61&lt;Legend!$C$14),"Completeness, ","")&amp;IF(AND(O61&lt;&gt;"",O61&lt;Legend!$C$14),"Consistency, ","")&amp;IF(AND(R61&lt;&gt;"",R61&lt;Legend!$C$14),"Timeliness, ","")&amp;IF(AND(U61&lt;&gt;"",U61&lt;Legend!$C$14),"Validity, ","")</f>
        <v/>
      </c>
      <c r="Y61" s="20" t="str">
        <f t="shared" si="6"/>
        <v/>
      </c>
    </row>
    <row r="62" spans="1:25" ht="15.75" customHeight="1" x14ac:dyDescent="0.25">
      <c r="A62" s="11" t="str">
        <f t="shared" si="7"/>
        <v/>
      </c>
      <c r="B62" s="21"/>
      <c r="C62" s="21"/>
      <c r="D62" s="22"/>
      <c r="E62" s="22"/>
      <c r="F62" s="23"/>
      <c r="G62" s="22"/>
      <c r="H62" s="22"/>
      <c r="I62" s="16" t="str">
        <f t="shared" si="0"/>
        <v/>
      </c>
      <c r="J62" s="22"/>
      <c r="K62" s="22"/>
      <c r="L62" s="16" t="str">
        <f t="shared" si="1"/>
        <v/>
      </c>
      <c r="M62" s="22"/>
      <c r="N62" s="22"/>
      <c r="O62" s="16" t="str">
        <f t="shared" si="2"/>
        <v/>
      </c>
      <c r="P62" s="22"/>
      <c r="Q62" s="22"/>
      <c r="R62" s="16" t="str">
        <f t="shared" si="3"/>
        <v/>
      </c>
      <c r="S62" s="22"/>
      <c r="T62" s="22"/>
      <c r="U62" s="16" t="str">
        <f t="shared" si="4"/>
        <v/>
      </c>
      <c r="V62" s="17" t="str">
        <f t="shared" si="5"/>
        <v/>
      </c>
      <c r="W62" s="18" t="str">
        <f>IF(V62="","",IF(V62&gt;=Legend!$C$14,"GREEN",IF(V62&gt;=Legend!$C$15,"YELLOW",IF(V62&gt;=Legend!$C$16,"ORANGE","RED"))))</f>
        <v/>
      </c>
      <c r="X62" s="19" t="str">
        <f>IF(AND(I62&lt;&gt;"",I62&lt;Legend!$C$14),"Accuracy, ","")&amp;IF(AND(L62&lt;&gt;"",L62&lt;Legend!$C$14),"Completeness, ","")&amp;IF(AND(O62&lt;&gt;"",O62&lt;Legend!$C$14),"Consistency, ","")&amp;IF(AND(R62&lt;&gt;"",R62&lt;Legend!$C$14),"Timeliness, ","")&amp;IF(AND(U62&lt;&gt;"",U62&lt;Legend!$C$14),"Validity, ","")</f>
        <v/>
      </c>
      <c r="Y62" s="20" t="str">
        <f t="shared" si="6"/>
        <v/>
      </c>
    </row>
    <row r="63" spans="1:25" ht="15.75" customHeight="1" x14ac:dyDescent="0.25">
      <c r="A63" s="11" t="str">
        <f t="shared" si="7"/>
        <v/>
      </c>
      <c r="B63" s="21"/>
      <c r="C63" s="21"/>
      <c r="D63" s="22"/>
      <c r="E63" s="22"/>
      <c r="F63" s="23"/>
      <c r="G63" s="22"/>
      <c r="H63" s="22"/>
      <c r="I63" s="16" t="str">
        <f t="shared" si="0"/>
        <v/>
      </c>
      <c r="J63" s="22"/>
      <c r="K63" s="22"/>
      <c r="L63" s="16" t="str">
        <f t="shared" si="1"/>
        <v/>
      </c>
      <c r="M63" s="22"/>
      <c r="N63" s="22"/>
      <c r="O63" s="16" t="str">
        <f t="shared" si="2"/>
        <v/>
      </c>
      <c r="P63" s="22"/>
      <c r="Q63" s="22"/>
      <c r="R63" s="16" t="str">
        <f t="shared" si="3"/>
        <v/>
      </c>
      <c r="S63" s="22"/>
      <c r="T63" s="22"/>
      <c r="U63" s="16" t="str">
        <f t="shared" si="4"/>
        <v/>
      </c>
      <c r="V63" s="17" t="str">
        <f t="shared" si="5"/>
        <v/>
      </c>
      <c r="W63" s="18" t="str">
        <f>IF(V63="","",IF(V63&gt;=Legend!$C$14,"GREEN",IF(V63&gt;=Legend!$C$15,"YELLOW",IF(V63&gt;=Legend!$C$16,"ORANGE","RED"))))</f>
        <v/>
      </c>
      <c r="X63" s="19" t="str">
        <f>IF(AND(I63&lt;&gt;"",I63&lt;Legend!$C$14),"Accuracy, ","")&amp;IF(AND(L63&lt;&gt;"",L63&lt;Legend!$C$14),"Completeness, ","")&amp;IF(AND(O63&lt;&gt;"",O63&lt;Legend!$C$14),"Consistency, ","")&amp;IF(AND(R63&lt;&gt;"",R63&lt;Legend!$C$14),"Timeliness, ","")&amp;IF(AND(U63&lt;&gt;"",U63&lt;Legend!$C$14),"Validity, ","")</f>
        <v/>
      </c>
      <c r="Y63" s="20" t="str">
        <f t="shared" si="6"/>
        <v/>
      </c>
    </row>
    <row r="64" spans="1:25" ht="15.75" customHeight="1" x14ac:dyDescent="0.25">
      <c r="A64" s="11" t="str">
        <f t="shared" si="7"/>
        <v/>
      </c>
      <c r="B64" s="21"/>
      <c r="C64" s="21"/>
      <c r="D64" s="22"/>
      <c r="E64" s="22"/>
      <c r="F64" s="23"/>
      <c r="G64" s="22"/>
      <c r="H64" s="22"/>
      <c r="I64" s="16" t="str">
        <f t="shared" si="0"/>
        <v/>
      </c>
      <c r="J64" s="22"/>
      <c r="K64" s="22"/>
      <c r="L64" s="16" t="str">
        <f t="shared" si="1"/>
        <v/>
      </c>
      <c r="M64" s="22"/>
      <c r="N64" s="22"/>
      <c r="O64" s="16" t="str">
        <f t="shared" si="2"/>
        <v/>
      </c>
      <c r="P64" s="22"/>
      <c r="Q64" s="22"/>
      <c r="R64" s="16" t="str">
        <f t="shared" si="3"/>
        <v/>
      </c>
      <c r="S64" s="22"/>
      <c r="T64" s="22"/>
      <c r="U64" s="16" t="str">
        <f t="shared" si="4"/>
        <v/>
      </c>
      <c r="V64" s="17" t="str">
        <f t="shared" si="5"/>
        <v/>
      </c>
      <c r="W64" s="18" t="str">
        <f>IF(V64="","",IF(V64&gt;=Legend!$C$14,"GREEN",IF(V64&gt;=Legend!$C$15,"YELLOW",IF(V64&gt;=Legend!$C$16,"ORANGE","RED"))))</f>
        <v/>
      </c>
      <c r="X64" s="19" t="str">
        <f>IF(AND(I64&lt;&gt;"",I64&lt;Legend!$C$14),"Accuracy, ","")&amp;IF(AND(L64&lt;&gt;"",L64&lt;Legend!$C$14),"Completeness, ","")&amp;IF(AND(O64&lt;&gt;"",O64&lt;Legend!$C$14),"Consistency, ","")&amp;IF(AND(R64&lt;&gt;"",R64&lt;Legend!$C$14),"Timeliness, ","")&amp;IF(AND(U64&lt;&gt;"",U64&lt;Legend!$C$14),"Validity, ","")</f>
        <v/>
      </c>
      <c r="Y64" s="20" t="str">
        <f t="shared" si="6"/>
        <v/>
      </c>
    </row>
    <row r="65" spans="1:25" ht="15.75" customHeight="1" x14ac:dyDescent="0.25">
      <c r="A65" s="11" t="str">
        <f t="shared" si="7"/>
        <v/>
      </c>
      <c r="B65" s="21"/>
      <c r="C65" s="21"/>
      <c r="D65" s="22"/>
      <c r="E65" s="22"/>
      <c r="F65" s="23"/>
      <c r="G65" s="22"/>
      <c r="H65" s="22"/>
      <c r="I65" s="16" t="str">
        <f t="shared" si="0"/>
        <v/>
      </c>
      <c r="J65" s="22"/>
      <c r="K65" s="22"/>
      <c r="L65" s="16" t="str">
        <f t="shared" si="1"/>
        <v/>
      </c>
      <c r="M65" s="22"/>
      <c r="N65" s="22"/>
      <c r="O65" s="16" t="str">
        <f t="shared" si="2"/>
        <v/>
      </c>
      <c r="P65" s="22"/>
      <c r="Q65" s="22"/>
      <c r="R65" s="16" t="str">
        <f t="shared" si="3"/>
        <v/>
      </c>
      <c r="S65" s="22"/>
      <c r="T65" s="22"/>
      <c r="U65" s="16" t="str">
        <f t="shared" si="4"/>
        <v/>
      </c>
      <c r="V65" s="17" t="str">
        <f t="shared" si="5"/>
        <v/>
      </c>
      <c r="W65" s="18" t="str">
        <f>IF(V65="","",IF(V65&gt;=Legend!$C$14,"GREEN",IF(V65&gt;=Legend!$C$15,"YELLOW",IF(V65&gt;=Legend!$C$16,"ORANGE","RED"))))</f>
        <v/>
      </c>
      <c r="X65" s="19" t="str">
        <f>IF(AND(I65&lt;&gt;"",I65&lt;Legend!$C$14),"Accuracy, ","")&amp;IF(AND(L65&lt;&gt;"",L65&lt;Legend!$C$14),"Completeness, ","")&amp;IF(AND(O65&lt;&gt;"",O65&lt;Legend!$C$14),"Consistency, ","")&amp;IF(AND(R65&lt;&gt;"",R65&lt;Legend!$C$14),"Timeliness, ","")&amp;IF(AND(U65&lt;&gt;"",U65&lt;Legend!$C$14),"Validity, ","")</f>
        <v/>
      </c>
      <c r="Y65" s="20" t="str">
        <f t="shared" si="6"/>
        <v/>
      </c>
    </row>
    <row r="66" spans="1:25" ht="15.75" customHeight="1" x14ac:dyDescent="0.25">
      <c r="A66" s="11" t="str">
        <f t="shared" si="7"/>
        <v/>
      </c>
      <c r="B66" s="21"/>
      <c r="C66" s="21"/>
      <c r="D66" s="22"/>
      <c r="E66" s="22"/>
      <c r="F66" s="23"/>
      <c r="G66" s="22"/>
      <c r="H66" s="22"/>
      <c r="I66" s="16" t="str">
        <f t="shared" si="0"/>
        <v/>
      </c>
      <c r="J66" s="22"/>
      <c r="K66" s="22"/>
      <c r="L66" s="16" t="str">
        <f t="shared" si="1"/>
        <v/>
      </c>
      <c r="M66" s="22"/>
      <c r="N66" s="22"/>
      <c r="O66" s="16" t="str">
        <f t="shared" si="2"/>
        <v/>
      </c>
      <c r="P66" s="22"/>
      <c r="Q66" s="22"/>
      <c r="R66" s="16" t="str">
        <f t="shared" si="3"/>
        <v/>
      </c>
      <c r="S66" s="22"/>
      <c r="T66" s="22"/>
      <c r="U66" s="16" t="str">
        <f t="shared" si="4"/>
        <v/>
      </c>
      <c r="V66" s="17" t="str">
        <f t="shared" si="5"/>
        <v/>
      </c>
      <c r="W66" s="18" t="str">
        <f>IF(V66="","",IF(V66&gt;=Legend!$C$14,"GREEN",IF(V66&gt;=Legend!$C$15,"YELLOW",IF(V66&gt;=Legend!$C$16,"ORANGE","RED"))))</f>
        <v/>
      </c>
      <c r="X66" s="19" t="str">
        <f>IF(AND(I66&lt;&gt;"",I66&lt;Legend!$C$14),"Accuracy, ","")&amp;IF(AND(L66&lt;&gt;"",L66&lt;Legend!$C$14),"Completeness, ","")&amp;IF(AND(O66&lt;&gt;"",O66&lt;Legend!$C$14),"Consistency, ","")&amp;IF(AND(R66&lt;&gt;"",R66&lt;Legend!$C$14),"Timeliness, ","")&amp;IF(AND(U66&lt;&gt;"",U66&lt;Legend!$C$14),"Validity, ","")</f>
        <v/>
      </c>
      <c r="Y66" s="20" t="str">
        <f t="shared" si="6"/>
        <v/>
      </c>
    </row>
    <row r="67" spans="1:25" ht="15.75" customHeight="1" x14ac:dyDescent="0.25">
      <c r="A67" s="11" t="str">
        <f t="shared" si="7"/>
        <v/>
      </c>
      <c r="B67" s="21"/>
      <c r="C67" s="21"/>
      <c r="D67" s="22"/>
      <c r="E67" s="22"/>
      <c r="F67" s="23"/>
      <c r="G67" s="22"/>
      <c r="H67" s="22"/>
      <c r="I67" s="16" t="str">
        <f t="shared" si="0"/>
        <v/>
      </c>
      <c r="J67" s="22"/>
      <c r="K67" s="22"/>
      <c r="L67" s="16" t="str">
        <f t="shared" si="1"/>
        <v/>
      </c>
      <c r="M67" s="22"/>
      <c r="N67" s="22"/>
      <c r="O67" s="16" t="str">
        <f t="shared" si="2"/>
        <v/>
      </c>
      <c r="P67" s="22"/>
      <c r="Q67" s="22"/>
      <c r="R67" s="16" t="str">
        <f t="shared" si="3"/>
        <v/>
      </c>
      <c r="S67" s="22"/>
      <c r="T67" s="22"/>
      <c r="U67" s="16" t="str">
        <f t="shared" si="4"/>
        <v/>
      </c>
      <c r="V67" s="17" t="str">
        <f t="shared" si="5"/>
        <v/>
      </c>
      <c r="W67" s="18" t="str">
        <f>IF(V67="","",IF(V67&gt;=Legend!$C$14,"GREEN",IF(V67&gt;=Legend!$C$15,"YELLOW",IF(V67&gt;=Legend!$C$16,"ORANGE","RED"))))</f>
        <v/>
      </c>
      <c r="X67" s="19" t="str">
        <f>IF(AND(I67&lt;&gt;"",I67&lt;Legend!$C$14),"Accuracy, ","")&amp;IF(AND(L67&lt;&gt;"",L67&lt;Legend!$C$14),"Completeness, ","")&amp;IF(AND(O67&lt;&gt;"",O67&lt;Legend!$C$14),"Consistency, ","")&amp;IF(AND(R67&lt;&gt;"",R67&lt;Legend!$C$14),"Timeliness, ","")&amp;IF(AND(U67&lt;&gt;"",U67&lt;Legend!$C$14),"Validity, ","")</f>
        <v/>
      </c>
      <c r="Y67" s="20" t="str">
        <f t="shared" si="6"/>
        <v/>
      </c>
    </row>
    <row r="68" spans="1:25" ht="15.75" customHeight="1" x14ac:dyDescent="0.25">
      <c r="A68" s="11" t="str">
        <f t="shared" si="7"/>
        <v/>
      </c>
      <c r="B68" s="21"/>
      <c r="C68" s="21"/>
      <c r="D68" s="22"/>
      <c r="E68" s="22"/>
      <c r="F68" s="23"/>
      <c r="G68" s="22"/>
      <c r="H68" s="22"/>
      <c r="I68" s="16" t="str">
        <f t="shared" si="0"/>
        <v/>
      </c>
      <c r="J68" s="22"/>
      <c r="K68" s="22"/>
      <c r="L68" s="16" t="str">
        <f t="shared" si="1"/>
        <v/>
      </c>
      <c r="M68" s="22"/>
      <c r="N68" s="22"/>
      <c r="O68" s="16" t="str">
        <f t="shared" si="2"/>
        <v/>
      </c>
      <c r="P68" s="22"/>
      <c r="Q68" s="22"/>
      <c r="R68" s="16" t="str">
        <f t="shared" si="3"/>
        <v/>
      </c>
      <c r="S68" s="22"/>
      <c r="T68" s="22"/>
      <c r="U68" s="16" t="str">
        <f t="shared" si="4"/>
        <v/>
      </c>
      <c r="V68" s="17" t="str">
        <f t="shared" si="5"/>
        <v/>
      </c>
      <c r="W68" s="18" t="str">
        <f>IF(V68="","",IF(V68&gt;=Legend!$C$14,"GREEN",IF(V68&gt;=Legend!$C$15,"YELLOW",IF(V68&gt;=Legend!$C$16,"ORANGE","RED"))))</f>
        <v/>
      </c>
      <c r="X68" s="19" t="str">
        <f>IF(AND(I68&lt;&gt;"",I68&lt;Legend!$C$14),"Accuracy, ","")&amp;IF(AND(L68&lt;&gt;"",L68&lt;Legend!$C$14),"Completeness, ","")&amp;IF(AND(O68&lt;&gt;"",O68&lt;Legend!$C$14),"Consistency, ","")&amp;IF(AND(R68&lt;&gt;"",R68&lt;Legend!$C$14),"Timeliness, ","")&amp;IF(AND(U68&lt;&gt;"",U68&lt;Legend!$C$14),"Validity, ","")</f>
        <v/>
      </c>
      <c r="Y68" s="20" t="str">
        <f t="shared" si="6"/>
        <v/>
      </c>
    </row>
    <row r="69" spans="1:25" ht="15.75" customHeight="1" x14ac:dyDescent="0.25">
      <c r="A69" s="11" t="str">
        <f t="shared" si="7"/>
        <v/>
      </c>
      <c r="B69" s="21"/>
      <c r="C69" s="21"/>
      <c r="D69" s="22"/>
      <c r="E69" s="22"/>
      <c r="F69" s="23"/>
      <c r="G69" s="22"/>
      <c r="H69" s="22"/>
      <c r="I69" s="16" t="str">
        <f t="shared" ref="I69:I132" si="8">IFERROR(H69/G69,"")</f>
        <v/>
      </c>
      <c r="J69" s="22"/>
      <c r="K69" s="22"/>
      <c r="L69" s="16" t="str">
        <f t="shared" ref="L69:L132" si="9">IFERROR(K69/J69,"")</f>
        <v/>
      </c>
      <c r="M69" s="22"/>
      <c r="N69" s="22"/>
      <c r="O69" s="16" t="str">
        <f t="shared" ref="O69:O132" si="10">IFERROR(N69/M69,"")</f>
        <v/>
      </c>
      <c r="P69" s="22"/>
      <c r="Q69" s="22"/>
      <c r="R69" s="16" t="str">
        <f t="shared" ref="R69:R132" si="11">IFERROR(Q69/P69,"")</f>
        <v/>
      </c>
      <c r="S69" s="22"/>
      <c r="T69" s="22"/>
      <c r="U69" s="16" t="str">
        <f t="shared" ref="U69:U132" si="12">IFERROR(T69/S69,"")</f>
        <v/>
      </c>
      <c r="V69" s="17" t="str">
        <f t="shared" ref="V69:V132" si="13">IFERROR(AVERAGE(I69,L69,O69,R69,U69),"")</f>
        <v/>
      </c>
      <c r="W69" s="18" t="str">
        <f>IF(V69="","",IF(V69&gt;=Legend!$C$14,"GREEN",IF(V69&gt;=Legend!$C$15,"YELLOW",IF(V69&gt;=Legend!$C$16,"ORANGE","RED"))))</f>
        <v/>
      </c>
      <c r="X69" s="19" t="str">
        <f>IF(AND(I69&lt;&gt;"",I69&lt;Legend!$C$14),"Accuracy, ","")&amp;IF(AND(L69&lt;&gt;"",L69&lt;Legend!$C$14),"Completeness, ","")&amp;IF(AND(O69&lt;&gt;"",O69&lt;Legend!$C$14),"Consistency, ","")&amp;IF(AND(R69&lt;&gt;"",R69&lt;Legend!$C$14),"Timeliness, ","")&amp;IF(AND(U69&lt;&gt;"",U69&lt;Legend!$C$14),"Validity, ","")</f>
        <v/>
      </c>
      <c r="Y69" s="20" t="str">
        <f t="shared" ref="Y69:Y132" si="14">IF(V69="","",IF(LEN(X69)=0,"All dimensions on target",LEFT(X69,LEN(X69)-2)))</f>
        <v/>
      </c>
    </row>
    <row r="70" spans="1:25" ht="15.75" customHeight="1" x14ac:dyDescent="0.25">
      <c r="A70" s="11" t="str">
        <f t="shared" ref="A70:A133" si="15">IF($B70="","",""&amp;"AUD-"&amp;TEXT(ROW()-4,"000"))</f>
        <v/>
      </c>
      <c r="B70" s="21"/>
      <c r="C70" s="21"/>
      <c r="D70" s="22"/>
      <c r="E70" s="22"/>
      <c r="F70" s="23"/>
      <c r="G70" s="22"/>
      <c r="H70" s="22"/>
      <c r="I70" s="16" t="str">
        <f t="shared" si="8"/>
        <v/>
      </c>
      <c r="J70" s="22"/>
      <c r="K70" s="22"/>
      <c r="L70" s="16" t="str">
        <f t="shared" si="9"/>
        <v/>
      </c>
      <c r="M70" s="22"/>
      <c r="N70" s="22"/>
      <c r="O70" s="16" t="str">
        <f t="shared" si="10"/>
        <v/>
      </c>
      <c r="P70" s="22"/>
      <c r="Q70" s="22"/>
      <c r="R70" s="16" t="str">
        <f t="shared" si="11"/>
        <v/>
      </c>
      <c r="S70" s="22"/>
      <c r="T70" s="22"/>
      <c r="U70" s="16" t="str">
        <f t="shared" si="12"/>
        <v/>
      </c>
      <c r="V70" s="17" t="str">
        <f t="shared" si="13"/>
        <v/>
      </c>
      <c r="W70" s="18" t="str">
        <f>IF(V70="","",IF(V70&gt;=Legend!$C$14,"GREEN",IF(V70&gt;=Legend!$C$15,"YELLOW",IF(V70&gt;=Legend!$C$16,"ORANGE","RED"))))</f>
        <v/>
      </c>
      <c r="X70" s="19" t="str">
        <f>IF(AND(I70&lt;&gt;"",I70&lt;Legend!$C$14),"Accuracy, ","")&amp;IF(AND(L70&lt;&gt;"",L70&lt;Legend!$C$14),"Completeness, ","")&amp;IF(AND(O70&lt;&gt;"",O70&lt;Legend!$C$14),"Consistency, ","")&amp;IF(AND(R70&lt;&gt;"",R70&lt;Legend!$C$14),"Timeliness, ","")&amp;IF(AND(U70&lt;&gt;"",U70&lt;Legend!$C$14),"Validity, ","")</f>
        <v/>
      </c>
      <c r="Y70" s="20" t="str">
        <f t="shared" si="14"/>
        <v/>
      </c>
    </row>
    <row r="71" spans="1:25" ht="15.75" customHeight="1" x14ac:dyDescent="0.25">
      <c r="A71" s="11" t="str">
        <f t="shared" si="15"/>
        <v/>
      </c>
      <c r="B71" s="21"/>
      <c r="C71" s="21"/>
      <c r="D71" s="22"/>
      <c r="E71" s="22"/>
      <c r="F71" s="23"/>
      <c r="G71" s="22"/>
      <c r="H71" s="22"/>
      <c r="I71" s="16" t="str">
        <f t="shared" si="8"/>
        <v/>
      </c>
      <c r="J71" s="22"/>
      <c r="K71" s="22"/>
      <c r="L71" s="16" t="str">
        <f t="shared" si="9"/>
        <v/>
      </c>
      <c r="M71" s="22"/>
      <c r="N71" s="22"/>
      <c r="O71" s="16" t="str">
        <f t="shared" si="10"/>
        <v/>
      </c>
      <c r="P71" s="22"/>
      <c r="Q71" s="22"/>
      <c r="R71" s="16" t="str">
        <f t="shared" si="11"/>
        <v/>
      </c>
      <c r="S71" s="22"/>
      <c r="T71" s="22"/>
      <c r="U71" s="16" t="str">
        <f t="shared" si="12"/>
        <v/>
      </c>
      <c r="V71" s="17" t="str">
        <f t="shared" si="13"/>
        <v/>
      </c>
      <c r="W71" s="18" t="str">
        <f>IF(V71="","",IF(V71&gt;=Legend!$C$14,"GREEN",IF(V71&gt;=Legend!$C$15,"YELLOW",IF(V71&gt;=Legend!$C$16,"ORANGE","RED"))))</f>
        <v/>
      </c>
      <c r="X71" s="19" t="str">
        <f>IF(AND(I71&lt;&gt;"",I71&lt;Legend!$C$14),"Accuracy, ","")&amp;IF(AND(L71&lt;&gt;"",L71&lt;Legend!$C$14),"Completeness, ","")&amp;IF(AND(O71&lt;&gt;"",O71&lt;Legend!$C$14),"Consistency, ","")&amp;IF(AND(R71&lt;&gt;"",R71&lt;Legend!$C$14),"Timeliness, ","")&amp;IF(AND(U71&lt;&gt;"",U71&lt;Legend!$C$14),"Validity, ","")</f>
        <v/>
      </c>
      <c r="Y71" s="20" t="str">
        <f t="shared" si="14"/>
        <v/>
      </c>
    </row>
    <row r="72" spans="1:25" ht="15.75" customHeight="1" x14ac:dyDescent="0.25">
      <c r="A72" s="11" t="str">
        <f t="shared" si="15"/>
        <v/>
      </c>
      <c r="B72" s="21"/>
      <c r="C72" s="21"/>
      <c r="D72" s="22"/>
      <c r="E72" s="22"/>
      <c r="F72" s="23"/>
      <c r="G72" s="22"/>
      <c r="H72" s="22"/>
      <c r="I72" s="16" t="str">
        <f t="shared" si="8"/>
        <v/>
      </c>
      <c r="J72" s="22"/>
      <c r="K72" s="22"/>
      <c r="L72" s="16" t="str">
        <f t="shared" si="9"/>
        <v/>
      </c>
      <c r="M72" s="22"/>
      <c r="N72" s="22"/>
      <c r="O72" s="16" t="str">
        <f t="shared" si="10"/>
        <v/>
      </c>
      <c r="P72" s="22"/>
      <c r="Q72" s="22"/>
      <c r="R72" s="16" t="str">
        <f t="shared" si="11"/>
        <v/>
      </c>
      <c r="S72" s="22"/>
      <c r="T72" s="22"/>
      <c r="U72" s="16" t="str">
        <f t="shared" si="12"/>
        <v/>
      </c>
      <c r="V72" s="17" t="str">
        <f t="shared" si="13"/>
        <v/>
      </c>
      <c r="W72" s="18" t="str">
        <f>IF(V72="","",IF(V72&gt;=Legend!$C$14,"GREEN",IF(V72&gt;=Legend!$C$15,"YELLOW",IF(V72&gt;=Legend!$C$16,"ORANGE","RED"))))</f>
        <v/>
      </c>
      <c r="X72" s="19" t="str">
        <f>IF(AND(I72&lt;&gt;"",I72&lt;Legend!$C$14),"Accuracy, ","")&amp;IF(AND(L72&lt;&gt;"",L72&lt;Legend!$C$14),"Completeness, ","")&amp;IF(AND(O72&lt;&gt;"",O72&lt;Legend!$C$14),"Consistency, ","")&amp;IF(AND(R72&lt;&gt;"",R72&lt;Legend!$C$14),"Timeliness, ","")&amp;IF(AND(U72&lt;&gt;"",U72&lt;Legend!$C$14),"Validity, ","")</f>
        <v/>
      </c>
      <c r="Y72" s="20" t="str">
        <f t="shared" si="14"/>
        <v/>
      </c>
    </row>
    <row r="73" spans="1:25" ht="15.75" customHeight="1" x14ac:dyDescent="0.25">
      <c r="A73" s="11" t="str">
        <f t="shared" si="15"/>
        <v/>
      </c>
      <c r="B73" s="21"/>
      <c r="C73" s="21"/>
      <c r="D73" s="22"/>
      <c r="E73" s="22"/>
      <c r="F73" s="23"/>
      <c r="G73" s="22"/>
      <c r="H73" s="22"/>
      <c r="I73" s="16" t="str">
        <f t="shared" si="8"/>
        <v/>
      </c>
      <c r="J73" s="22"/>
      <c r="K73" s="22"/>
      <c r="L73" s="16" t="str">
        <f t="shared" si="9"/>
        <v/>
      </c>
      <c r="M73" s="22"/>
      <c r="N73" s="22"/>
      <c r="O73" s="16" t="str">
        <f t="shared" si="10"/>
        <v/>
      </c>
      <c r="P73" s="22"/>
      <c r="Q73" s="22"/>
      <c r="R73" s="16" t="str">
        <f t="shared" si="11"/>
        <v/>
      </c>
      <c r="S73" s="22"/>
      <c r="T73" s="22"/>
      <c r="U73" s="16" t="str">
        <f t="shared" si="12"/>
        <v/>
      </c>
      <c r="V73" s="17" t="str">
        <f t="shared" si="13"/>
        <v/>
      </c>
      <c r="W73" s="18" t="str">
        <f>IF(V73="","",IF(V73&gt;=Legend!$C$14,"GREEN",IF(V73&gt;=Legend!$C$15,"YELLOW",IF(V73&gt;=Legend!$C$16,"ORANGE","RED"))))</f>
        <v/>
      </c>
      <c r="X73" s="19" t="str">
        <f>IF(AND(I73&lt;&gt;"",I73&lt;Legend!$C$14),"Accuracy, ","")&amp;IF(AND(L73&lt;&gt;"",L73&lt;Legend!$C$14),"Completeness, ","")&amp;IF(AND(O73&lt;&gt;"",O73&lt;Legend!$C$14),"Consistency, ","")&amp;IF(AND(R73&lt;&gt;"",R73&lt;Legend!$C$14),"Timeliness, ","")&amp;IF(AND(U73&lt;&gt;"",U73&lt;Legend!$C$14),"Validity, ","")</f>
        <v/>
      </c>
      <c r="Y73" s="20" t="str">
        <f t="shared" si="14"/>
        <v/>
      </c>
    </row>
    <row r="74" spans="1:25" ht="15.75" customHeight="1" x14ac:dyDescent="0.25">
      <c r="A74" s="11" t="str">
        <f t="shared" si="15"/>
        <v/>
      </c>
      <c r="B74" s="21"/>
      <c r="C74" s="21"/>
      <c r="D74" s="22"/>
      <c r="E74" s="22"/>
      <c r="F74" s="23"/>
      <c r="G74" s="22"/>
      <c r="H74" s="22"/>
      <c r="I74" s="16" t="str">
        <f t="shared" si="8"/>
        <v/>
      </c>
      <c r="J74" s="22"/>
      <c r="K74" s="22"/>
      <c r="L74" s="16" t="str">
        <f t="shared" si="9"/>
        <v/>
      </c>
      <c r="M74" s="22"/>
      <c r="N74" s="22"/>
      <c r="O74" s="16" t="str">
        <f t="shared" si="10"/>
        <v/>
      </c>
      <c r="P74" s="22"/>
      <c r="Q74" s="22"/>
      <c r="R74" s="16" t="str">
        <f t="shared" si="11"/>
        <v/>
      </c>
      <c r="S74" s="22"/>
      <c r="T74" s="22"/>
      <c r="U74" s="16" t="str">
        <f t="shared" si="12"/>
        <v/>
      </c>
      <c r="V74" s="17" t="str">
        <f t="shared" si="13"/>
        <v/>
      </c>
      <c r="W74" s="18" t="str">
        <f>IF(V74="","",IF(V74&gt;=Legend!$C$14,"GREEN",IF(V74&gt;=Legend!$C$15,"YELLOW",IF(V74&gt;=Legend!$C$16,"ORANGE","RED"))))</f>
        <v/>
      </c>
      <c r="X74" s="19" t="str">
        <f>IF(AND(I74&lt;&gt;"",I74&lt;Legend!$C$14),"Accuracy, ","")&amp;IF(AND(L74&lt;&gt;"",L74&lt;Legend!$C$14),"Completeness, ","")&amp;IF(AND(O74&lt;&gt;"",O74&lt;Legend!$C$14),"Consistency, ","")&amp;IF(AND(R74&lt;&gt;"",R74&lt;Legend!$C$14),"Timeliness, ","")&amp;IF(AND(U74&lt;&gt;"",U74&lt;Legend!$C$14),"Validity, ","")</f>
        <v/>
      </c>
      <c r="Y74" s="20" t="str">
        <f t="shared" si="14"/>
        <v/>
      </c>
    </row>
    <row r="75" spans="1:25" ht="15.75" customHeight="1" x14ac:dyDescent="0.25">
      <c r="A75" s="11" t="str">
        <f t="shared" si="15"/>
        <v/>
      </c>
      <c r="B75" s="21"/>
      <c r="C75" s="21"/>
      <c r="D75" s="22"/>
      <c r="E75" s="22"/>
      <c r="F75" s="23"/>
      <c r="G75" s="22"/>
      <c r="H75" s="22"/>
      <c r="I75" s="16" t="str">
        <f t="shared" si="8"/>
        <v/>
      </c>
      <c r="J75" s="22"/>
      <c r="K75" s="22"/>
      <c r="L75" s="16" t="str">
        <f t="shared" si="9"/>
        <v/>
      </c>
      <c r="M75" s="22"/>
      <c r="N75" s="22"/>
      <c r="O75" s="16" t="str">
        <f t="shared" si="10"/>
        <v/>
      </c>
      <c r="P75" s="22"/>
      <c r="Q75" s="22"/>
      <c r="R75" s="16" t="str">
        <f t="shared" si="11"/>
        <v/>
      </c>
      <c r="S75" s="22"/>
      <c r="T75" s="22"/>
      <c r="U75" s="16" t="str">
        <f t="shared" si="12"/>
        <v/>
      </c>
      <c r="V75" s="17" t="str">
        <f t="shared" si="13"/>
        <v/>
      </c>
      <c r="W75" s="18" t="str">
        <f>IF(V75="","",IF(V75&gt;=Legend!$C$14,"GREEN",IF(V75&gt;=Legend!$C$15,"YELLOW",IF(V75&gt;=Legend!$C$16,"ORANGE","RED"))))</f>
        <v/>
      </c>
      <c r="X75" s="19" t="str">
        <f>IF(AND(I75&lt;&gt;"",I75&lt;Legend!$C$14),"Accuracy, ","")&amp;IF(AND(L75&lt;&gt;"",L75&lt;Legend!$C$14),"Completeness, ","")&amp;IF(AND(O75&lt;&gt;"",O75&lt;Legend!$C$14),"Consistency, ","")&amp;IF(AND(R75&lt;&gt;"",R75&lt;Legend!$C$14),"Timeliness, ","")&amp;IF(AND(U75&lt;&gt;"",U75&lt;Legend!$C$14),"Validity, ","")</f>
        <v/>
      </c>
      <c r="Y75" s="20" t="str">
        <f t="shared" si="14"/>
        <v/>
      </c>
    </row>
    <row r="76" spans="1:25" ht="15.75" customHeight="1" x14ac:dyDescent="0.25">
      <c r="A76" s="11" t="str">
        <f t="shared" si="15"/>
        <v/>
      </c>
      <c r="B76" s="21"/>
      <c r="C76" s="21"/>
      <c r="D76" s="22"/>
      <c r="E76" s="22"/>
      <c r="F76" s="23"/>
      <c r="G76" s="22"/>
      <c r="H76" s="22"/>
      <c r="I76" s="16" t="str">
        <f t="shared" si="8"/>
        <v/>
      </c>
      <c r="J76" s="22"/>
      <c r="K76" s="22"/>
      <c r="L76" s="16" t="str">
        <f t="shared" si="9"/>
        <v/>
      </c>
      <c r="M76" s="22"/>
      <c r="N76" s="22"/>
      <c r="O76" s="16" t="str">
        <f t="shared" si="10"/>
        <v/>
      </c>
      <c r="P76" s="22"/>
      <c r="Q76" s="22"/>
      <c r="R76" s="16" t="str">
        <f t="shared" si="11"/>
        <v/>
      </c>
      <c r="S76" s="22"/>
      <c r="T76" s="22"/>
      <c r="U76" s="16" t="str">
        <f t="shared" si="12"/>
        <v/>
      </c>
      <c r="V76" s="17" t="str">
        <f t="shared" si="13"/>
        <v/>
      </c>
      <c r="W76" s="18" t="str">
        <f>IF(V76="","",IF(V76&gt;=Legend!$C$14,"GREEN",IF(V76&gt;=Legend!$C$15,"YELLOW",IF(V76&gt;=Legend!$C$16,"ORANGE","RED"))))</f>
        <v/>
      </c>
      <c r="X76" s="19" t="str">
        <f>IF(AND(I76&lt;&gt;"",I76&lt;Legend!$C$14),"Accuracy, ","")&amp;IF(AND(L76&lt;&gt;"",L76&lt;Legend!$C$14),"Completeness, ","")&amp;IF(AND(O76&lt;&gt;"",O76&lt;Legend!$C$14),"Consistency, ","")&amp;IF(AND(R76&lt;&gt;"",R76&lt;Legend!$C$14),"Timeliness, ","")&amp;IF(AND(U76&lt;&gt;"",U76&lt;Legend!$C$14),"Validity, ","")</f>
        <v/>
      </c>
      <c r="Y76" s="20" t="str">
        <f t="shared" si="14"/>
        <v/>
      </c>
    </row>
    <row r="77" spans="1:25" ht="15.75" customHeight="1" x14ac:dyDescent="0.25">
      <c r="A77" s="11" t="str">
        <f t="shared" si="15"/>
        <v/>
      </c>
      <c r="B77" s="21"/>
      <c r="C77" s="21"/>
      <c r="D77" s="22"/>
      <c r="E77" s="22"/>
      <c r="F77" s="23"/>
      <c r="G77" s="22"/>
      <c r="H77" s="22"/>
      <c r="I77" s="16" t="str">
        <f t="shared" si="8"/>
        <v/>
      </c>
      <c r="J77" s="22"/>
      <c r="K77" s="22"/>
      <c r="L77" s="16" t="str">
        <f t="shared" si="9"/>
        <v/>
      </c>
      <c r="M77" s="22"/>
      <c r="N77" s="22"/>
      <c r="O77" s="16" t="str">
        <f t="shared" si="10"/>
        <v/>
      </c>
      <c r="P77" s="22"/>
      <c r="Q77" s="22"/>
      <c r="R77" s="16" t="str">
        <f t="shared" si="11"/>
        <v/>
      </c>
      <c r="S77" s="22"/>
      <c r="T77" s="22"/>
      <c r="U77" s="16" t="str">
        <f t="shared" si="12"/>
        <v/>
      </c>
      <c r="V77" s="17" t="str">
        <f t="shared" si="13"/>
        <v/>
      </c>
      <c r="W77" s="18" t="str">
        <f>IF(V77="","",IF(V77&gt;=Legend!$C$14,"GREEN",IF(V77&gt;=Legend!$C$15,"YELLOW",IF(V77&gt;=Legend!$C$16,"ORANGE","RED"))))</f>
        <v/>
      </c>
      <c r="X77" s="19" t="str">
        <f>IF(AND(I77&lt;&gt;"",I77&lt;Legend!$C$14),"Accuracy, ","")&amp;IF(AND(L77&lt;&gt;"",L77&lt;Legend!$C$14),"Completeness, ","")&amp;IF(AND(O77&lt;&gt;"",O77&lt;Legend!$C$14),"Consistency, ","")&amp;IF(AND(R77&lt;&gt;"",R77&lt;Legend!$C$14),"Timeliness, ","")&amp;IF(AND(U77&lt;&gt;"",U77&lt;Legend!$C$14),"Validity, ","")</f>
        <v/>
      </c>
      <c r="Y77" s="20" t="str">
        <f t="shared" si="14"/>
        <v/>
      </c>
    </row>
    <row r="78" spans="1:25" ht="15.75" customHeight="1" x14ac:dyDescent="0.25">
      <c r="A78" s="11" t="str">
        <f t="shared" si="15"/>
        <v/>
      </c>
      <c r="B78" s="21"/>
      <c r="C78" s="21"/>
      <c r="D78" s="22"/>
      <c r="E78" s="22"/>
      <c r="F78" s="23"/>
      <c r="G78" s="22"/>
      <c r="H78" s="22"/>
      <c r="I78" s="16" t="str">
        <f t="shared" si="8"/>
        <v/>
      </c>
      <c r="J78" s="22"/>
      <c r="K78" s="22"/>
      <c r="L78" s="16" t="str">
        <f t="shared" si="9"/>
        <v/>
      </c>
      <c r="M78" s="22"/>
      <c r="N78" s="22"/>
      <c r="O78" s="16" t="str">
        <f t="shared" si="10"/>
        <v/>
      </c>
      <c r="P78" s="22"/>
      <c r="Q78" s="22"/>
      <c r="R78" s="16" t="str">
        <f t="shared" si="11"/>
        <v/>
      </c>
      <c r="S78" s="22"/>
      <c r="T78" s="22"/>
      <c r="U78" s="16" t="str">
        <f t="shared" si="12"/>
        <v/>
      </c>
      <c r="V78" s="17" t="str">
        <f t="shared" si="13"/>
        <v/>
      </c>
      <c r="W78" s="18" t="str">
        <f>IF(V78="","",IF(V78&gt;=Legend!$C$14,"GREEN",IF(V78&gt;=Legend!$C$15,"YELLOW",IF(V78&gt;=Legend!$C$16,"ORANGE","RED"))))</f>
        <v/>
      </c>
      <c r="X78" s="19" t="str">
        <f>IF(AND(I78&lt;&gt;"",I78&lt;Legend!$C$14),"Accuracy, ","")&amp;IF(AND(L78&lt;&gt;"",L78&lt;Legend!$C$14),"Completeness, ","")&amp;IF(AND(O78&lt;&gt;"",O78&lt;Legend!$C$14),"Consistency, ","")&amp;IF(AND(R78&lt;&gt;"",R78&lt;Legend!$C$14),"Timeliness, ","")&amp;IF(AND(U78&lt;&gt;"",U78&lt;Legend!$C$14),"Validity, ","")</f>
        <v/>
      </c>
      <c r="Y78" s="20" t="str">
        <f t="shared" si="14"/>
        <v/>
      </c>
    </row>
    <row r="79" spans="1:25" ht="15.75" customHeight="1" x14ac:dyDescent="0.25">
      <c r="A79" s="11" t="str">
        <f t="shared" si="15"/>
        <v/>
      </c>
      <c r="B79" s="21"/>
      <c r="C79" s="21"/>
      <c r="D79" s="22"/>
      <c r="E79" s="22"/>
      <c r="F79" s="23"/>
      <c r="G79" s="22"/>
      <c r="H79" s="22"/>
      <c r="I79" s="16" t="str">
        <f t="shared" si="8"/>
        <v/>
      </c>
      <c r="J79" s="22"/>
      <c r="K79" s="22"/>
      <c r="L79" s="16" t="str">
        <f t="shared" si="9"/>
        <v/>
      </c>
      <c r="M79" s="22"/>
      <c r="N79" s="22"/>
      <c r="O79" s="16" t="str">
        <f t="shared" si="10"/>
        <v/>
      </c>
      <c r="P79" s="22"/>
      <c r="Q79" s="22"/>
      <c r="R79" s="16" t="str">
        <f t="shared" si="11"/>
        <v/>
      </c>
      <c r="S79" s="22"/>
      <c r="T79" s="22"/>
      <c r="U79" s="16" t="str">
        <f t="shared" si="12"/>
        <v/>
      </c>
      <c r="V79" s="17" t="str">
        <f t="shared" si="13"/>
        <v/>
      </c>
      <c r="W79" s="18" t="str">
        <f>IF(V79="","",IF(V79&gt;=Legend!$C$14,"GREEN",IF(V79&gt;=Legend!$C$15,"YELLOW",IF(V79&gt;=Legend!$C$16,"ORANGE","RED"))))</f>
        <v/>
      </c>
      <c r="X79" s="19" t="str">
        <f>IF(AND(I79&lt;&gt;"",I79&lt;Legend!$C$14),"Accuracy, ","")&amp;IF(AND(L79&lt;&gt;"",L79&lt;Legend!$C$14),"Completeness, ","")&amp;IF(AND(O79&lt;&gt;"",O79&lt;Legend!$C$14),"Consistency, ","")&amp;IF(AND(R79&lt;&gt;"",R79&lt;Legend!$C$14),"Timeliness, ","")&amp;IF(AND(U79&lt;&gt;"",U79&lt;Legend!$C$14),"Validity, ","")</f>
        <v/>
      </c>
      <c r="Y79" s="20" t="str">
        <f t="shared" si="14"/>
        <v/>
      </c>
    </row>
    <row r="80" spans="1:25" ht="15.75" customHeight="1" x14ac:dyDescent="0.25">
      <c r="A80" s="11" t="str">
        <f t="shared" si="15"/>
        <v/>
      </c>
      <c r="B80" s="21"/>
      <c r="C80" s="21"/>
      <c r="D80" s="22"/>
      <c r="E80" s="22"/>
      <c r="F80" s="23"/>
      <c r="G80" s="22"/>
      <c r="H80" s="22"/>
      <c r="I80" s="16" t="str">
        <f t="shared" si="8"/>
        <v/>
      </c>
      <c r="J80" s="22"/>
      <c r="K80" s="22"/>
      <c r="L80" s="16" t="str">
        <f t="shared" si="9"/>
        <v/>
      </c>
      <c r="M80" s="22"/>
      <c r="N80" s="22"/>
      <c r="O80" s="16" t="str">
        <f t="shared" si="10"/>
        <v/>
      </c>
      <c r="P80" s="22"/>
      <c r="Q80" s="22"/>
      <c r="R80" s="16" t="str">
        <f t="shared" si="11"/>
        <v/>
      </c>
      <c r="S80" s="22"/>
      <c r="T80" s="22"/>
      <c r="U80" s="16" t="str">
        <f t="shared" si="12"/>
        <v/>
      </c>
      <c r="V80" s="17" t="str">
        <f t="shared" si="13"/>
        <v/>
      </c>
      <c r="W80" s="18" t="str">
        <f>IF(V80="","",IF(V80&gt;=Legend!$C$14,"GREEN",IF(V80&gt;=Legend!$C$15,"YELLOW",IF(V80&gt;=Legend!$C$16,"ORANGE","RED"))))</f>
        <v/>
      </c>
      <c r="X80" s="19" t="str">
        <f>IF(AND(I80&lt;&gt;"",I80&lt;Legend!$C$14),"Accuracy, ","")&amp;IF(AND(L80&lt;&gt;"",L80&lt;Legend!$C$14),"Completeness, ","")&amp;IF(AND(O80&lt;&gt;"",O80&lt;Legend!$C$14),"Consistency, ","")&amp;IF(AND(R80&lt;&gt;"",R80&lt;Legend!$C$14),"Timeliness, ","")&amp;IF(AND(U80&lt;&gt;"",U80&lt;Legend!$C$14),"Validity, ","")</f>
        <v/>
      </c>
      <c r="Y80" s="20" t="str">
        <f t="shared" si="14"/>
        <v/>
      </c>
    </row>
    <row r="81" spans="1:25" ht="15.75" customHeight="1" x14ac:dyDescent="0.25">
      <c r="A81" s="11" t="str">
        <f t="shared" si="15"/>
        <v/>
      </c>
      <c r="B81" s="21"/>
      <c r="C81" s="21"/>
      <c r="D81" s="22"/>
      <c r="E81" s="22"/>
      <c r="F81" s="23"/>
      <c r="G81" s="22"/>
      <c r="H81" s="22"/>
      <c r="I81" s="16" t="str">
        <f t="shared" si="8"/>
        <v/>
      </c>
      <c r="J81" s="22"/>
      <c r="K81" s="22"/>
      <c r="L81" s="16" t="str">
        <f t="shared" si="9"/>
        <v/>
      </c>
      <c r="M81" s="22"/>
      <c r="N81" s="22"/>
      <c r="O81" s="16" t="str">
        <f t="shared" si="10"/>
        <v/>
      </c>
      <c r="P81" s="22"/>
      <c r="Q81" s="22"/>
      <c r="R81" s="16" t="str">
        <f t="shared" si="11"/>
        <v/>
      </c>
      <c r="S81" s="22"/>
      <c r="T81" s="22"/>
      <c r="U81" s="16" t="str">
        <f t="shared" si="12"/>
        <v/>
      </c>
      <c r="V81" s="17" t="str">
        <f t="shared" si="13"/>
        <v/>
      </c>
      <c r="W81" s="18" t="str">
        <f>IF(V81="","",IF(V81&gt;=Legend!$C$14,"GREEN",IF(V81&gt;=Legend!$C$15,"YELLOW",IF(V81&gt;=Legend!$C$16,"ORANGE","RED"))))</f>
        <v/>
      </c>
      <c r="X81" s="19" t="str">
        <f>IF(AND(I81&lt;&gt;"",I81&lt;Legend!$C$14),"Accuracy, ","")&amp;IF(AND(L81&lt;&gt;"",L81&lt;Legend!$C$14),"Completeness, ","")&amp;IF(AND(O81&lt;&gt;"",O81&lt;Legend!$C$14),"Consistency, ","")&amp;IF(AND(R81&lt;&gt;"",R81&lt;Legend!$C$14),"Timeliness, ","")&amp;IF(AND(U81&lt;&gt;"",U81&lt;Legend!$C$14),"Validity, ","")</f>
        <v/>
      </c>
      <c r="Y81" s="20" t="str">
        <f t="shared" si="14"/>
        <v/>
      </c>
    </row>
    <row r="82" spans="1:25" ht="15.75" customHeight="1" x14ac:dyDescent="0.25">
      <c r="A82" s="11" t="str">
        <f t="shared" si="15"/>
        <v/>
      </c>
      <c r="B82" s="21"/>
      <c r="C82" s="21"/>
      <c r="D82" s="22"/>
      <c r="E82" s="22"/>
      <c r="F82" s="23"/>
      <c r="G82" s="22"/>
      <c r="H82" s="22"/>
      <c r="I82" s="16" t="str">
        <f t="shared" si="8"/>
        <v/>
      </c>
      <c r="J82" s="22"/>
      <c r="K82" s="22"/>
      <c r="L82" s="16" t="str">
        <f t="shared" si="9"/>
        <v/>
      </c>
      <c r="M82" s="22"/>
      <c r="N82" s="22"/>
      <c r="O82" s="16" t="str">
        <f t="shared" si="10"/>
        <v/>
      </c>
      <c r="P82" s="22"/>
      <c r="Q82" s="22"/>
      <c r="R82" s="16" t="str">
        <f t="shared" si="11"/>
        <v/>
      </c>
      <c r="S82" s="22"/>
      <c r="T82" s="22"/>
      <c r="U82" s="16" t="str">
        <f t="shared" si="12"/>
        <v/>
      </c>
      <c r="V82" s="17" t="str">
        <f t="shared" si="13"/>
        <v/>
      </c>
      <c r="W82" s="18" t="str">
        <f>IF(V82="","",IF(V82&gt;=Legend!$C$14,"GREEN",IF(V82&gt;=Legend!$C$15,"YELLOW",IF(V82&gt;=Legend!$C$16,"ORANGE","RED"))))</f>
        <v/>
      </c>
      <c r="X82" s="19" t="str">
        <f>IF(AND(I82&lt;&gt;"",I82&lt;Legend!$C$14),"Accuracy, ","")&amp;IF(AND(L82&lt;&gt;"",L82&lt;Legend!$C$14),"Completeness, ","")&amp;IF(AND(O82&lt;&gt;"",O82&lt;Legend!$C$14),"Consistency, ","")&amp;IF(AND(R82&lt;&gt;"",R82&lt;Legend!$C$14),"Timeliness, ","")&amp;IF(AND(U82&lt;&gt;"",U82&lt;Legend!$C$14),"Validity, ","")</f>
        <v/>
      </c>
      <c r="Y82" s="20" t="str">
        <f t="shared" si="14"/>
        <v/>
      </c>
    </row>
    <row r="83" spans="1:25" ht="15.75" customHeight="1" x14ac:dyDescent="0.25">
      <c r="A83" s="11" t="str">
        <f t="shared" si="15"/>
        <v/>
      </c>
      <c r="B83" s="21"/>
      <c r="C83" s="21"/>
      <c r="D83" s="22"/>
      <c r="E83" s="22"/>
      <c r="F83" s="23"/>
      <c r="G83" s="22"/>
      <c r="H83" s="22"/>
      <c r="I83" s="16" t="str">
        <f t="shared" si="8"/>
        <v/>
      </c>
      <c r="J83" s="22"/>
      <c r="K83" s="22"/>
      <c r="L83" s="16" t="str">
        <f t="shared" si="9"/>
        <v/>
      </c>
      <c r="M83" s="22"/>
      <c r="N83" s="22"/>
      <c r="O83" s="16" t="str">
        <f t="shared" si="10"/>
        <v/>
      </c>
      <c r="P83" s="22"/>
      <c r="Q83" s="22"/>
      <c r="R83" s="16" t="str">
        <f t="shared" si="11"/>
        <v/>
      </c>
      <c r="S83" s="22"/>
      <c r="T83" s="22"/>
      <c r="U83" s="16" t="str">
        <f t="shared" si="12"/>
        <v/>
      </c>
      <c r="V83" s="17" t="str">
        <f t="shared" si="13"/>
        <v/>
      </c>
      <c r="W83" s="18" t="str">
        <f>IF(V83="","",IF(V83&gt;=Legend!$C$14,"GREEN",IF(V83&gt;=Legend!$C$15,"YELLOW",IF(V83&gt;=Legend!$C$16,"ORANGE","RED"))))</f>
        <v/>
      </c>
      <c r="X83" s="19" t="str">
        <f>IF(AND(I83&lt;&gt;"",I83&lt;Legend!$C$14),"Accuracy, ","")&amp;IF(AND(L83&lt;&gt;"",L83&lt;Legend!$C$14),"Completeness, ","")&amp;IF(AND(O83&lt;&gt;"",O83&lt;Legend!$C$14),"Consistency, ","")&amp;IF(AND(R83&lt;&gt;"",R83&lt;Legend!$C$14),"Timeliness, ","")&amp;IF(AND(U83&lt;&gt;"",U83&lt;Legend!$C$14),"Validity, ","")</f>
        <v/>
      </c>
      <c r="Y83" s="20" t="str">
        <f t="shared" si="14"/>
        <v/>
      </c>
    </row>
    <row r="84" spans="1:25" ht="15.75" customHeight="1" x14ac:dyDescent="0.25">
      <c r="A84" s="11" t="str">
        <f t="shared" si="15"/>
        <v/>
      </c>
      <c r="B84" s="21"/>
      <c r="C84" s="21"/>
      <c r="D84" s="22"/>
      <c r="E84" s="22"/>
      <c r="F84" s="23"/>
      <c r="G84" s="22"/>
      <c r="H84" s="22"/>
      <c r="I84" s="16" t="str">
        <f t="shared" si="8"/>
        <v/>
      </c>
      <c r="J84" s="22"/>
      <c r="K84" s="22"/>
      <c r="L84" s="16" t="str">
        <f t="shared" si="9"/>
        <v/>
      </c>
      <c r="M84" s="22"/>
      <c r="N84" s="22"/>
      <c r="O84" s="16" t="str">
        <f t="shared" si="10"/>
        <v/>
      </c>
      <c r="P84" s="22"/>
      <c r="Q84" s="22"/>
      <c r="R84" s="16" t="str">
        <f t="shared" si="11"/>
        <v/>
      </c>
      <c r="S84" s="22"/>
      <c r="T84" s="22"/>
      <c r="U84" s="16" t="str">
        <f t="shared" si="12"/>
        <v/>
      </c>
      <c r="V84" s="17" t="str">
        <f t="shared" si="13"/>
        <v/>
      </c>
      <c r="W84" s="18" t="str">
        <f>IF(V84="","",IF(V84&gt;=Legend!$C$14,"GREEN",IF(V84&gt;=Legend!$C$15,"YELLOW",IF(V84&gt;=Legend!$C$16,"ORANGE","RED"))))</f>
        <v/>
      </c>
      <c r="X84" s="19" t="str">
        <f>IF(AND(I84&lt;&gt;"",I84&lt;Legend!$C$14),"Accuracy, ","")&amp;IF(AND(L84&lt;&gt;"",L84&lt;Legend!$C$14),"Completeness, ","")&amp;IF(AND(O84&lt;&gt;"",O84&lt;Legend!$C$14),"Consistency, ","")&amp;IF(AND(R84&lt;&gt;"",R84&lt;Legend!$C$14),"Timeliness, ","")&amp;IF(AND(U84&lt;&gt;"",U84&lt;Legend!$C$14),"Validity, ","")</f>
        <v/>
      </c>
      <c r="Y84" s="20" t="str">
        <f t="shared" si="14"/>
        <v/>
      </c>
    </row>
    <row r="85" spans="1:25" ht="15.75" customHeight="1" x14ac:dyDescent="0.25">
      <c r="A85" s="11" t="str">
        <f t="shared" si="15"/>
        <v/>
      </c>
      <c r="B85" s="21"/>
      <c r="C85" s="21"/>
      <c r="D85" s="22"/>
      <c r="E85" s="22"/>
      <c r="F85" s="23"/>
      <c r="G85" s="22"/>
      <c r="H85" s="22"/>
      <c r="I85" s="16" t="str">
        <f t="shared" si="8"/>
        <v/>
      </c>
      <c r="J85" s="22"/>
      <c r="K85" s="22"/>
      <c r="L85" s="16" t="str">
        <f t="shared" si="9"/>
        <v/>
      </c>
      <c r="M85" s="22"/>
      <c r="N85" s="22"/>
      <c r="O85" s="16" t="str">
        <f t="shared" si="10"/>
        <v/>
      </c>
      <c r="P85" s="22"/>
      <c r="Q85" s="22"/>
      <c r="R85" s="16" t="str">
        <f t="shared" si="11"/>
        <v/>
      </c>
      <c r="S85" s="22"/>
      <c r="T85" s="22"/>
      <c r="U85" s="16" t="str">
        <f t="shared" si="12"/>
        <v/>
      </c>
      <c r="V85" s="17" t="str">
        <f t="shared" si="13"/>
        <v/>
      </c>
      <c r="W85" s="18" t="str">
        <f>IF(V85="","",IF(V85&gt;=Legend!$C$14,"GREEN",IF(V85&gt;=Legend!$C$15,"YELLOW",IF(V85&gt;=Legend!$C$16,"ORANGE","RED"))))</f>
        <v/>
      </c>
      <c r="X85" s="19" t="str">
        <f>IF(AND(I85&lt;&gt;"",I85&lt;Legend!$C$14),"Accuracy, ","")&amp;IF(AND(L85&lt;&gt;"",L85&lt;Legend!$C$14),"Completeness, ","")&amp;IF(AND(O85&lt;&gt;"",O85&lt;Legend!$C$14),"Consistency, ","")&amp;IF(AND(R85&lt;&gt;"",R85&lt;Legend!$C$14),"Timeliness, ","")&amp;IF(AND(U85&lt;&gt;"",U85&lt;Legend!$C$14),"Validity, ","")</f>
        <v/>
      </c>
      <c r="Y85" s="20" t="str">
        <f t="shared" si="14"/>
        <v/>
      </c>
    </row>
    <row r="86" spans="1:25" ht="15.75" customHeight="1" x14ac:dyDescent="0.25">
      <c r="A86" s="11" t="str">
        <f t="shared" si="15"/>
        <v/>
      </c>
      <c r="B86" s="21"/>
      <c r="C86" s="21"/>
      <c r="D86" s="22"/>
      <c r="E86" s="22"/>
      <c r="F86" s="23"/>
      <c r="G86" s="22"/>
      <c r="H86" s="22"/>
      <c r="I86" s="16" t="str">
        <f t="shared" si="8"/>
        <v/>
      </c>
      <c r="J86" s="22"/>
      <c r="K86" s="22"/>
      <c r="L86" s="16" t="str">
        <f t="shared" si="9"/>
        <v/>
      </c>
      <c r="M86" s="22"/>
      <c r="N86" s="22"/>
      <c r="O86" s="16" t="str">
        <f t="shared" si="10"/>
        <v/>
      </c>
      <c r="P86" s="22"/>
      <c r="Q86" s="22"/>
      <c r="R86" s="16" t="str">
        <f t="shared" si="11"/>
        <v/>
      </c>
      <c r="S86" s="22"/>
      <c r="T86" s="22"/>
      <c r="U86" s="16" t="str">
        <f t="shared" si="12"/>
        <v/>
      </c>
      <c r="V86" s="17" t="str">
        <f t="shared" si="13"/>
        <v/>
      </c>
      <c r="W86" s="18" t="str">
        <f>IF(V86="","",IF(V86&gt;=Legend!$C$14,"GREEN",IF(V86&gt;=Legend!$C$15,"YELLOW",IF(V86&gt;=Legend!$C$16,"ORANGE","RED"))))</f>
        <v/>
      </c>
      <c r="X86" s="19" t="str">
        <f>IF(AND(I86&lt;&gt;"",I86&lt;Legend!$C$14),"Accuracy, ","")&amp;IF(AND(L86&lt;&gt;"",L86&lt;Legend!$C$14),"Completeness, ","")&amp;IF(AND(O86&lt;&gt;"",O86&lt;Legend!$C$14),"Consistency, ","")&amp;IF(AND(R86&lt;&gt;"",R86&lt;Legend!$C$14),"Timeliness, ","")&amp;IF(AND(U86&lt;&gt;"",U86&lt;Legend!$C$14),"Validity, ","")</f>
        <v/>
      </c>
      <c r="Y86" s="20" t="str">
        <f t="shared" si="14"/>
        <v/>
      </c>
    </row>
    <row r="87" spans="1:25" ht="15.75" customHeight="1" x14ac:dyDescent="0.25">
      <c r="A87" s="11" t="str">
        <f t="shared" si="15"/>
        <v/>
      </c>
      <c r="B87" s="21"/>
      <c r="C87" s="21"/>
      <c r="D87" s="22"/>
      <c r="E87" s="22"/>
      <c r="F87" s="23"/>
      <c r="G87" s="22"/>
      <c r="H87" s="22"/>
      <c r="I87" s="16" t="str">
        <f t="shared" si="8"/>
        <v/>
      </c>
      <c r="J87" s="22"/>
      <c r="K87" s="22"/>
      <c r="L87" s="16" t="str">
        <f t="shared" si="9"/>
        <v/>
      </c>
      <c r="M87" s="22"/>
      <c r="N87" s="22"/>
      <c r="O87" s="16" t="str">
        <f t="shared" si="10"/>
        <v/>
      </c>
      <c r="P87" s="22"/>
      <c r="Q87" s="22"/>
      <c r="R87" s="16" t="str">
        <f t="shared" si="11"/>
        <v/>
      </c>
      <c r="S87" s="22"/>
      <c r="T87" s="22"/>
      <c r="U87" s="16" t="str">
        <f t="shared" si="12"/>
        <v/>
      </c>
      <c r="V87" s="17" t="str">
        <f t="shared" si="13"/>
        <v/>
      </c>
      <c r="W87" s="18" t="str">
        <f>IF(V87="","",IF(V87&gt;=Legend!$C$14,"GREEN",IF(V87&gt;=Legend!$C$15,"YELLOW",IF(V87&gt;=Legend!$C$16,"ORANGE","RED"))))</f>
        <v/>
      </c>
      <c r="X87" s="19" t="str">
        <f>IF(AND(I87&lt;&gt;"",I87&lt;Legend!$C$14),"Accuracy, ","")&amp;IF(AND(L87&lt;&gt;"",L87&lt;Legend!$C$14),"Completeness, ","")&amp;IF(AND(O87&lt;&gt;"",O87&lt;Legend!$C$14),"Consistency, ","")&amp;IF(AND(R87&lt;&gt;"",R87&lt;Legend!$C$14),"Timeliness, ","")&amp;IF(AND(U87&lt;&gt;"",U87&lt;Legend!$C$14),"Validity, ","")</f>
        <v/>
      </c>
      <c r="Y87" s="20" t="str">
        <f t="shared" si="14"/>
        <v/>
      </c>
    </row>
    <row r="88" spans="1:25" ht="15.75" customHeight="1" x14ac:dyDescent="0.25">
      <c r="A88" s="11" t="str">
        <f t="shared" si="15"/>
        <v/>
      </c>
      <c r="B88" s="21"/>
      <c r="C88" s="21"/>
      <c r="D88" s="22"/>
      <c r="E88" s="22"/>
      <c r="F88" s="23"/>
      <c r="G88" s="22"/>
      <c r="H88" s="22"/>
      <c r="I88" s="16" t="str">
        <f t="shared" si="8"/>
        <v/>
      </c>
      <c r="J88" s="22"/>
      <c r="K88" s="22"/>
      <c r="L88" s="16" t="str">
        <f t="shared" si="9"/>
        <v/>
      </c>
      <c r="M88" s="22"/>
      <c r="N88" s="22"/>
      <c r="O88" s="16" t="str">
        <f t="shared" si="10"/>
        <v/>
      </c>
      <c r="P88" s="22"/>
      <c r="Q88" s="22"/>
      <c r="R88" s="16" t="str">
        <f t="shared" si="11"/>
        <v/>
      </c>
      <c r="S88" s="22"/>
      <c r="T88" s="22"/>
      <c r="U88" s="16" t="str">
        <f t="shared" si="12"/>
        <v/>
      </c>
      <c r="V88" s="17" t="str">
        <f t="shared" si="13"/>
        <v/>
      </c>
      <c r="W88" s="18" t="str">
        <f>IF(V88="","",IF(V88&gt;=Legend!$C$14,"GREEN",IF(V88&gt;=Legend!$C$15,"YELLOW",IF(V88&gt;=Legend!$C$16,"ORANGE","RED"))))</f>
        <v/>
      </c>
      <c r="X88" s="19" t="str">
        <f>IF(AND(I88&lt;&gt;"",I88&lt;Legend!$C$14),"Accuracy, ","")&amp;IF(AND(L88&lt;&gt;"",L88&lt;Legend!$C$14),"Completeness, ","")&amp;IF(AND(O88&lt;&gt;"",O88&lt;Legend!$C$14),"Consistency, ","")&amp;IF(AND(R88&lt;&gt;"",R88&lt;Legend!$C$14),"Timeliness, ","")&amp;IF(AND(U88&lt;&gt;"",U88&lt;Legend!$C$14),"Validity, ","")</f>
        <v/>
      </c>
      <c r="Y88" s="20" t="str">
        <f t="shared" si="14"/>
        <v/>
      </c>
    </row>
    <row r="89" spans="1:25" ht="15.75" customHeight="1" x14ac:dyDescent="0.25">
      <c r="A89" s="11" t="str">
        <f t="shared" si="15"/>
        <v/>
      </c>
      <c r="B89" s="21"/>
      <c r="C89" s="21"/>
      <c r="D89" s="22"/>
      <c r="E89" s="22"/>
      <c r="F89" s="23"/>
      <c r="G89" s="22"/>
      <c r="H89" s="22"/>
      <c r="I89" s="16" t="str">
        <f t="shared" si="8"/>
        <v/>
      </c>
      <c r="J89" s="22"/>
      <c r="K89" s="22"/>
      <c r="L89" s="16" t="str">
        <f t="shared" si="9"/>
        <v/>
      </c>
      <c r="M89" s="22"/>
      <c r="N89" s="22"/>
      <c r="O89" s="16" t="str">
        <f t="shared" si="10"/>
        <v/>
      </c>
      <c r="P89" s="22"/>
      <c r="Q89" s="22"/>
      <c r="R89" s="16" t="str">
        <f t="shared" si="11"/>
        <v/>
      </c>
      <c r="S89" s="22"/>
      <c r="T89" s="22"/>
      <c r="U89" s="16" t="str">
        <f t="shared" si="12"/>
        <v/>
      </c>
      <c r="V89" s="17" t="str">
        <f t="shared" si="13"/>
        <v/>
      </c>
      <c r="W89" s="18" t="str">
        <f>IF(V89="","",IF(V89&gt;=Legend!$C$14,"GREEN",IF(V89&gt;=Legend!$C$15,"YELLOW",IF(V89&gt;=Legend!$C$16,"ORANGE","RED"))))</f>
        <v/>
      </c>
      <c r="X89" s="19" t="str">
        <f>IF(AND(I89&lt;&gt;"",I89&lt;Legend!$C$14),"Accuracy, ","")&amp;IF(AND(L89&lt;&gt;"",L89&lt;Legend!$C$14),"Completeness, ","")&amp;IF(AND(O89&lt;&gt;"",O89&lt;Legend!$C$14),"Consistency, ","")&amp;IF(AND(R89&lt;&gt;"",R89&lt;Legend!$C$14),"Timeliness, ","")&amp;IF(AND(U89&lt;&gt;"",U89&lt;Legend!$C$14),"Validity, ","")</f>
        <v/>
      </c>
      <c r="Y89" s="20" t="str">
        <f t="shared" si="14"/>
        <v/>
      </c>
    </row>
    <row r="90" spans="1:25" ht="15.75" customHeight="1" x14ac:dyDescent="0.25">
      <c r="A90" s="11" t="str">
        <f t="shared" si="15"/>
        <v/>
      </c>
      <c r="B90" s="21"/>
      <c r="C90" s="21"/>
      <c r="D90" s="22"/>
      <c r="E90" s="22"/>
      <c r="F90" s="23"/>
      <c r="G90" s="22"/>
      <c r="H90" s="22"/>
      <c r="I90" s="16" t="str">
        <f t="shared" si="8"/>
        <v/>
      </c>
      <c r="J90" s="22"/>
      <c r="K90" s="22"/>
      <c r="L90" s="16" t="str">
        <f t="shared" si="9"/>
        <v/>
      </c>
      <c r="M90" s="22"/>
      <c r="N90" s="22"/>
      <c r="O90" s="16" t="str">
        <f t="shared" si="10"/>
        <v/>
      </c>
      <c r="P90" s="22"/>
      <c r="Q90" s="22"/>
      <c r="R90" s="16" t="str">
        <f t="shared" si="11"/>
        <v/>
      </c>
      <c r="S90" s="22"/>
      <c r="T90" s="22"/>
      <c r="U90" s="16" t="str">
        <f t="shared" si="12"/>
        <v/>
      </c>
      <c r="V90" s="17" t="str">
        <f t="shared" si="13"/>
        <v/>
      </c>
      <c r="W90" s="18" t="str">
        <f>IF(V90="","",IF(V90&gt;=Legend!$C$14,"GREEN",IF(V90&gt;=Legend!$C$15,"YELLOW",IF(V90&gt;=Legend!$C$16,"ORANGE","RED"))))</f>
        <v/>
      </c>
      <c r="X90" s="19" t="str">
        <f>IF(AND(I90&lt;&gt;"",I90&lt;Legend!$C$14),"Accuracy, ","")&amp;IF(AND(L90&lt;&gt;"",L90&lt;Legend!$C$14),"Completeness, ","")&amp;IF(AND(O90&lt;&gt;"",O90&lt;Legend!$C$14),"Consistency, ","")&amp;IF(AND(R90&lt;&gt;"",R90&lt;Legend!$C$14),"Timeliness, ","")&amp;IF(AND(U90&lt;&gt;"",U90&lt;Legend!$C$14),"Validity, ","")</f>
        <v/>
      </c>
      <c r="Y90" s="20" t="str">
        <f t="shared" si="14"/>
        <v/>
      </c>
    </row>
    <row r="91" spans="1:25" ht="15.75" customHeight="1" x14ac:dyDescent="0.25">
      <c r="A91" s="11" t="str">
        <f t="shared" si="15"/>
        <v/>
      </c>
      <c r="B91" s="21"/>
      <c r="C91" s="21"/>
      <c r="D91" s="22"/>
      <c r="E91" s="22"/>
      <c r="F91" s="23"/>
      <c r="G91" s="22"/>
      <c r="H91" s="22"/>
      <c r="I91" s="16" t="str">
        <f t="shared" si="8"/>
        <v/>
      </c>
      <c r="J91" s="22"/>
      <c r="K91" s="22"/>
      <c r="L91" s="16" t="str">
        <f t="shared" si="9"/>
        <v/>
      </c>
      <c r="M91" s="22"/>
      <c r="N91" s="22"/>
      <c r="O91" s="16" t="str">
        <f t="shared" si="10"/>
        <v/>
      </c>
      <c r="P91" s="22"/>
      <c r="Q91" s="22"/>
      <c r="R91" s="16" t="str">
        <f t="shared" si="11"/>
        <v/>
      </c>
      <c r="S91" s="22"/>
      <c r="T91" s="22"/>
      <c r="U91" s="16" t="str">
        <f t="shared" si="12"/>
        <v/>
      </c>
      <c r="V91" s="17" t="str">
        <f t="shared" si="13"/>
        <v/>
      </c>
      <c r="W91" s="18" t="str">
        <f>IF(V91="","",IF(V91&gt;=Legend!$C$14,"GREEN",IF(V91&gt;=Legend!$C$15,"YELLOW",IF(V91&gt;=Legend!$C$16,"ORANGE","RED"))))</f>
        <v/>
      </c>
      <c r="X91" s="19" t="str">
        <f>IF(AND(I91&lt;&gt;"",I91&lt;Legend!$C$14),"Accuracy, ","")&amp;IF(AND(L91&lt;&gt;"",L91&lt;Legend!$C$14),"Completeness, ","")&amp;IF(AND(O91&lt;&gt;"",O91&lt;Legend!$C$14),"Consistency, ","")&amp;IF(AND(R91&lt;&gt;"",R91&lt;Legend!$C$14),"Timeliness, ","")&amp;IF(AND(U91&lt;&gt;"",U91&lt;Legend!$C$14),"Validity, ","")</f>
        <v/>
      </c>
      <c r="Y91" s="20" t="str">
        <f t="shared" si="14"/>
        <v/>
      </c>
    </row>
    <row r="92" spans="1:25" ht="15.75" customHeight="1" x14ac:dyDescent="0.25">
      <c r="A92" s="11" t="str">
        <f t="shared" si="15"/>
        <v/>
      </c>
      <c r="B92" s="21"/>
      <c r="C92" s="21"/>
      <c r="D92" s="22"/>
      <c r="E92" s="22"/>
      <c r="F92" s="23"/>
      <c r="G92" s="22"/>
      <c r="H92" s="22"/>
      <c r="I92" s="16" t="str">
        <f t="shared" si="8"/>
        <v/>
      </c>
      <c r="J92" s="22"/>
      <c r="K92" s="22"/>
      <c r="L92" s="16" t="str">
        <f t="shared" si="9"/>
        <v/>
      </c>
      <c r="M92" s="22"/>
      <c r="N92" s="22"/>
      <c r="O92" s="16" t="str">
        <f t="shared" si="10"/>
        <v/>
      </c>
      <c r="P92" s="22"/>
      <c r="Q92" s="22"/>
      <c r="R92" s="16" t="str">
        <f t="shared" si="11"/>
        <v/>
      </c>
      <c r="S92" s="22"/>
      <c r="T92" s="22"/>
      <c r="U92" s="16" t="str">
        <f t="shared" si="12"/>
        <v/>
      </c>
      <c r="V92" s="17" t="str">
        <f t="shared" si="13"/>
        <v/>
      </c>
      <c r="W92" s="18" t="str">
        <f>IF(V92="","",IF(V92&gt;=Legend!$C$14,"GREEN",IF(V92&gt;=Legend!$C$15,"YELLOW",IF(V92&gt;=Legend!$C$16,"ORANGE","RED"))))</f>
        <v/>
      </c>
      <c r="X92" s="19" t="str">
        <f>IF(AND(I92&lt;&gt;"",I92&lt;Legend!$C$14),"Accuracy, ","")&amp;IF(AND(L92&lt;&gt;"",L92&lt;Legend!$C$14),"Completeness, ","")&amp;IF(AND(O92&lt;&gt;"",O92&lt;Legend!$C$14),"Consistency, ","")&amp;IF(AND(R92&lt;&gt;"",R92&lt;Legend!$C$14),"Timeliness, ","")&amp;IF(AND(U92&lt;&gt;"",U92&lt;Legend!$C$14),"Validity, ","")</f>
        <v/>
      </c>
      <c r="Y92" s="20" t="str">
        <f t="shared" si="14"/>
        <v/>
      </c>
    </row>
    <row r="93" spans="1:25" ht="15.75" customHeight="1" x14ac:dyDescent="0.25">
      <c r="A93" s="11" t="str">
        <f t="shared" si="15"/>
        <v/>
      </c>
      <c r="B93" s="21"/>
      <c r="C93" s="21"/>
      <c r="D93" s="22"/>
      <c r="E93" s="22"/>
      <c r="F93" s="23"/>
      <c r="G93" s="22"/>
      <c r="H93" s="22"/>
      <c r="I93" s="16" t="str">
        <f t="shared" si="8"/>
        <v/>
      </c>
      <c r="J93" s="22"/>
      <c r="K93" s="22"/>
      <c r="L93" s="16" t="str">
        <f t="shared" si="9"/>
        <v/>
      </c>
      <c r="M93" s="22"/>
      <c r="N93" s="22"/>
      <c r="O93" s="16" t="str">
        <f t="shared" si="10"/>
        <v/>
      </c>
      <c r="P93" s="22"/>
      <c r="Q93" s="22"/>
      <c r="R93" s="16" t="str">
        <f t="shared" si="11"/>
        <v/>
      </c>
      <c r="S93" s="22"/>
      <c r="T93" s="22"/>
      <c r="U93" s="16" t="str">
        <f t="shared" si="12"/>
        <v/>
      </c>
      <c r="V93" s="17" t="str">
        <f t="shared" si="13"/>
        <v/>
      </c>
      <c r="W93" s="18" t="str">
        <f>IF(V93="","",IF(V93&gt;=Legend!$C$14,"GREEN",IF(V93&gt;=Legend!$C$15,"YELLOW",IF(V93&gt;=Legend!$C$16,"ORANGE","RED"))))</f>
        <v/>
      </c>
      <c r="X93" s="19" t="str">
        <f>IF(AND(I93&lt;&gt;"",I93&lt;Legend!$C$14),"Accuracy, ","")&amp;IF(AND(L93&lt;&gt;"",L93&lt;Legend!$C$14),"Completeness, ","")&amp;IF(AND(O93&lt;&gt;"",O93&lt;Legend!$C$14),"Consistency, ","")&amp;IF(AND(R93&lt;&gt;"",R93&lt;Legend!$C$14),"Timeliness, ","")&amp;IF(AND(U93&lt;&gt;"",U93&lt;Legend!$C$14),"Validity, ","")</f>
        <v/>
      </c>
      <c r="Y93" s="20" t="str">
        <f t="shared" si="14"/>
        <v/>
      </c>
    </row>
    <row r="94" spans="1:25" ht="15.75" customHeight="1" x14ac:dyDescent="0.25">
      <c r="A94" s="11" t="str">
        <f t="shared" si="15"/>
        <v/>
      </c>
      <c r="B94" s="21"/>
      <c r="C94" s="21"/>
      <c r="D94" s="22"/>
      <c r="E94" s="22"/>
      <c r="F94" s="23"/>
      <c r="G94" s="22"/>
      <c r="H94" s="22"/>
      <c r="I94" s="16" t="str">
        <f t="shared" si="8"/>
        <v/>
      </c>
      <c r="J94" s="22"/>
      <c r="K94" s="22"/>
      <c r="L94" s="16" t="str">
        <f t="shared" si="9"/>
        <v/>
      </c>
      <c r="M94" s="22"/>
      <c r="N94" s="22"/>
      <c r="O94" s="16" t="str">
        <f t="shared" si="10"/>
        <v/>
      </c>
      <c r="P94" s="22"/>
      <c r="Q94" s="22"/>
      <c r="R94" s="16" t="str">
        <f t="shared" si="11"/>
        <v/>
      </c>
      <c r="S94" s="22"/>
      <c r="T94" s="22"/>
      <c r="U94" s="16" t="str">
        <f t="shared" si="12"/>
        <v/>
      </c>
      <c r="V94" s="17" t="str">
        <f t="shared" si="13"/>
        <v/>
      </c>
      <c r="W94" s="18" t="str">
        <f>IF(V94="","",IF(V94&gt;=Legend!$C$14,"GREEN",IF(V94&gt;=Legend!$C$15,"YELLOW",IF(V94&gt;=Legend!$C$16,"ORANGE","RED"))))</f>
        <v/>
      </c>
      <c r="X94" s="19" t="str">
        <f>IF(AND(I94&lt;&gt;"",I94&lt;Legend!$C$14),"Accuracy, ","")&amp;IF(AND(L94&lt;&gt;"",L94&lt;Legend!$C$14),"Completeness, ","")&amp;IF(AND(O94&lt;&gt;"",O94&lt;Legend!$C$14),"Consistency, ","")&amp;IF(AND(R94&lt;&gt;"",R94&lt;Legend!$C$14),"Timeliness, ","")&amp;IF(AND(U94&lt;&gt;"",U94&lt;Legend!$C$14),"Validity, ","")</f>
        <v/>
      </c>
      <c r="Y94" s="20" t="str">
        <f t="shared" si="14"/>
        <v/>
      </c>
    </row>
    <row r="95" spans="1:25" ht="15.75" customHeight="1" x14ac:dyDescent="0.25">
      <c r="A95" s="11" t="str">
        <f t="shared" si="15"/>
        <v/>
      </c>
      <c r="B95" s="21"/>
      <c r="C95" s="21"/>
      <c r="D95" s="22"/>
      <c r="E95" s="22"/>
      <c r="F95" s="23"/>
      <c r="G95" s="22"/>
      <c r="H95" s="22"/>
      <c r="I95" s="16" t="str">
        <f t="shared" si="8"/>
        <v/>
      </c>
      <c r="J95" s="22"/>
      <c r="K95" s="22"/>
      <c r="L95" s="16" t="str">
        <f t="shared" si="9"/>
        <v/>
      </c>
      <c r="M95" s="22"/>
      <c r="N95" s="22"/>
      <c r="O95" s="16" t="str">
        <f t="shared" si="10"/>
        <v/>
      </c>
      <c r="P95" s="22"/>
      <c r="Q95" s="22"/>
      <c r="R95" s="16" t="str">
        <f t="shared" si="11"/>
        <v/>
      </c>
      <c r="S95" s="22"/>
      <c r="T95" s="22"/>
      <c r="U95" s="16" t="str">
        <f t="shared" si="12"/>
        <v/>
      </c>
      <c r="V95" s="17" t="str">
        <f t="shared" si="13"/>
        <v/>
      </c>
      <c r="W95" s="18" t="str">
        <f>IF(V95="","",IF(V95&gt;=Legend!$C$14,"GREEN",IF(V95&gt;=Legend!$C$15,"YELLOW",IF(V95&gt;=Legend!$C$16,"ORANGE","RED"))))</f>
        <v/>
      </c>
      <c r="X95" s="19" t="str">
        <f>IF(AND(I95&lt;&gt;"",I95&lt;Legend!$C$14),"Accuracy, ","")&amp;IF(AND(L95&lt;&gt;"",L95&lt;Legend!$C$14),"Completeness, ","")&amp;IF(AND(O95&lt;&gt;"",O95&lt;Legend!$C$14),"Consistency, ","")&amp;IF(AND(R95&lt;&gt;"",R95&lt;Legend!$C$14),"Timeliness, ","")&amp;IF(AND(U95&lt;&gt;"",U95&lt;Legend!$C$14),"Validity, ","")</f>
        <v/>
      </c>
      <c r="Y95" s="20" t="str">
        <f t="shared" si="14"/>
        <v/>
      </c>
    </row>
    <row r="96" spans="1:25" ht="15.75" customHeight="1" x14ac:dyDescent="0.25">
      <c r="A96" s="11" t="str">
        <f t="shared" si="15"/>
        <v/>
      </c>
      <c r="B96" s="21"/>
      <c r="C96" s="21"/>
      <c r="D96" s="22"/>
      <c r="E96" s="22"/>
      <c r="F96" s="23"/>
      <c r="G96" s="22"/>
      <c r="H96" s="22"/>
      <c r="I96" s="16" t="str">
        <f t="shared" si="8"/>
        <v/>
      </c>
      <c r="J96" s="22"/>
      <c r="K96" s="22"/>
      <c r="L96" s="16" t="str">
        <f t="shared" si="9"/>
        <v/>
      </c>
      <c r="M96" s="22"/>
      <c r="N96" s="22"/>
      <c r="O96" s="16" t="str">
        <f t="shared" si="10"/>
        <v/>
      </c>
      <c r="P96" s="22"/>
      <c r="Q96" s="22"/>
      <c r="R96" s="16" t="str">
        <f t="shared" si="11"/>
        <v/>
      </c>
      <c r="S96" s="22"/>
      <c r="T96" s="22"/>
      <c r="U96" s="16" t="str">
        <f t="shared" si="12"/>
        <v/>
      </c>
      <c r="V96" s="17" t="str">
        <f t="shared" si="13"/>
        <v/>
      </c>
      <c r="W96" s="18" t="str">
        <f>IF(V96="","",IF(V96&gt;=Legend!$C$14,"GREEN",IF(V96&gt;=Legend!$C$15,"YELLOW",IF(V96&gt;=Legend!$C$16,"ORANGE","RED"))))</f>
        <v/>
      </c>
      <c r="X96" s="19" t="str">
        <f>IF(AND(I96&lt;&gt;"",I96&lt;Legend!$C$14),"Accuracy, ","")&amp;IF(AND(L96&lt;&gt;"",L96&lt;Legend!$C$14),"Completeness, ","")&amp;IF(AND(O96&lt;&gt;"",O96&lt;Legend!$C$14),"Consistency, ","")&amp;IF(AND(R96&lt;&gt;"",R96&lt;Legend!$C$14),"Timeliness, ","")&amp;IF(AND(U96&lt;&gt;"",U96&lt;Legend!$C$14),"Validity, ","")</f>
        <v/>
      </c>
      <c r="Y96" s="20" t="str">
        <f t="shared" si="14"/>
        <v/>
      </c>
    </row>
    <row r="97" spans="1:25" ht="15.75" customHeight="1" x14ac:dyDescent="0.25">
      <c r="A97" s="11" t="str">
        <f t="shared" si="15"/>
        <v/>
      </c>
      <c r="B97" s="21"/>
      <c r="C97" s="21"/>
      <c r="D97" s="22"/>
      <c r="E97" s="22"/>
      <c r="F97" s="23"/>
      <c r="G97" s="22"/>
      <c r="H97" s="22"/>
      <c r="I97" s="16" t="str">
        <f t="shared" si="8"/>
        <v/>
      </c>
      <c r="J97" s="22"/>
      <c r="K97" s="22"/>
      <c r="L97" s="16" t="str">
        <f t="shared" si="9"/>
        <v/>
      </c>
      <c r="M97" s="22"/>
      <c r="N97" s="22"/>
      <c r="O97" s="16" t="str">
        <f t="shared" si="10"/>
        <v/>
      </c>
      <c r="P97" s="22"/>
      <c r="Q97" s="22"/>
      <c r="R97" s="16" t="str">
        <f t="shared" si="11"/>
        <v/>
      </c>
      <c r="S97" s="22"/>
      <c r="T97" s="22"/>
      <c r="U97" s="16" t="str">
        <f t="shared" si="12"/>
        <v/>
      </c>
      <c r="V97" s="17" t="str">
        <f t="shared" si="13"/>
        <v/>
      </c>
      <c r="W97" s="18" t="str">
        <f>IF(V97="","",IF(V97&gt;=Legend!$C$14,"GREEN",IF(V97&gt;=Legend!$C$15,"YELLOW",IF(V97&gt;=Legend!$C$16,"ORANGE","RED"))))</f>
        <v/>
      </c>
      <c r="X97" s="19" t="str">
        <f>IF(AND(I97&lt;&gt;"",I97&lt;Legend!$C$14),"Accuracy, ","")&amp;IF(AND(L97&lt;&gt;"",L97&lt;Legend!$C$14),"Completeness, ","")&amp;IF(AND(O97&lt;&gt;"",O97&lt;Legend!$C$14),"Consistency, ","")&amp;IF(AND(R97&lt;&gt;"",R97&lt;Legend!$C$14),"Timeliness, ","")&amp;IF(AND(U97&lt;&gt;"",U97&lt;Legend!$C$14),"Validity, ","")</f>
        <v/>
      </c>
      <c r="Y97" s="20" t="str">
        <f t="shared" si="14"/>
        <v/>
      </c>
    </row>
    <row r="98" spans="1:25" ht="15.75" customHeight="1" x14ac:dyDescent="0.25">
      <c r="A98" s="11" t="str">
        <f t="shared" si="15"/>
        <v/>
      </c>
      <c r="B98" s="21"/>
      <c r="C98" s="21"/>
      <c r="D98" s="22"/>
      <c r="E98" s="22"/>
      <c r="F98" s="23"/>
      <c r="G98" s="22"/>
      <c r="H98" s="22"/>
      <c r="I98" s="16" t="str">
        <f t="shared" si="8"/>
        <v/>
      </c>
      <c r="J98" s="22"/>
      <c r="K98" s="22"/>
      <c r="L98" s="16" t="str">
        <f t="shared" si="9"/>
        <v/>
      </c>
      <c r="M98" s="22"/>
      <c r="N98" s="22"/>
      <c r="O98" s="16" t="str">
        <f t="shared" si="10"/>
        <v/>
      </c>
      <c r="P98" s="22"/>
      <c r="Q98" s="22"/>
      <c r="R98" s="16" t="str">
        <f t="shared" si="11"/>
        <v/>
      </c>
      <c r="S98" s="22"/>
      <c r="T98" s="22"/>
      <c r="U98" s="16" t="str">
        <f t="shared" si="12"/>
        <v/>
      </c>
      <c r="V98" s="17" t="str">
        <f t="shared" si="13"/>
        <v/>
      </c>
      <c r="W98" s="18" t="str">
        <f>IF(V98="","",IF(V98&gt;=Legend!$C$14,"GREEN",IF(V98&gt;=Legend!$C$15,"YELLOW",IF(V98&gt;=Legend!$C$16,"ORANGE","RED"))))</f>
        <v/>
      </c>
      <c r="X98" s="19" t="str">
        <f>IF(AND(I98&lt;&gt;"",I98&lt;Legend!$C$14),"Accuracy, ","")&amp;IF(AND(L98&lt;&gt;"",L98&lt;Legend!$C$14),"Completeness, ","")&amp;IF(AND(O98&lt;&gt;"",O98&lt;Legend!$C$14),"Consistency, ","")&amp;IF(AND(R98&lt;&gt;"",R98&lt;Legend!$C$14),"Timeliness, ","")&amp;IF(AND(U98&lt;&gt;"",U98&lt;Legend!$C$14),"Validity, ","")</f>
        <v/>
      </c>
      <c r="Y98" s="20" t="str">
        <f t="shared" si="14"/>
        <v/>
      </c>
    </row>
    <row r="99" spans="1:25" ht="15.75" customHeight="1" x14ac:dyDescent="0.25">
      <c r="A99" s="11" t="str">
        <f t="shared" si="15"/>
        <v/>
      </c>
      <c r="B99" s="21"/>
      <c r="C99" s="21"/>
      <c r="D99" s="22"/>
      <c r="E99" s="22"/>
      <c r="F99" s="23"/>
      <c r="G99" s="22"/>
      <c r="H99" s="22"/>
      <c r="I99" s="16" t="str">
        <f t="shared" si="8"/>
        <v/>
      </c>
      <c r="J99" s="22"/>
      <c r="K99" s="22"/>
      <c r="L99" s="16" t="str">
        <f t="shared" si="9"/>
        <v/>
      </c>
      <c r="M99" s="22"/>
      <c r="N99" s="22"/>
      <c r="O99" s="16" t="str">
        <f t="shared" si="10"/>
        <v/>
      </c>
      <c r="P99" s="22"/>
      <c r="Q99" s="22"/>
      <c r="R99" s="16" t="str">
        <f t="shared" si="11"/>
        <v/>
      </c>
      <c r="S99" s="22"/>
      <c r="T99" s="22"/>
      <c r="U99" s="16" t="str">
        <f t="shared" si="12"/>
        <v/>
      </c>
      <c r="V99" s="17" t="str">
        <f t="shared" si="13"/>
        <v/>
      </c>
      <c r="W99" s="18" t="str">
        <f>IF(V99="","",IF(V99&gt;=Legend!$C$14,"GREEN",IF(V99&gt;=Legend!$C$15,"YELLOW",IF(V99&gt;=Legend!$C$16,"ORANGE","RED"))))</f>
        <v/>
      </c>
      <c r="X99" s="19" t="str">
        <f>IF(AND(I99&lt;&gt;"",I99&lt;Legend!$C$14),"Accuracy, ","")&amp;IF(AND(L99&lt;&gt;"",L99&lt;Legend!$C$14),"Completeness, ","")&amp;IF(AND(O99&lt;&gt;"",O99&lt;Legend!$C$14),"Consistency, ","")&amp;IF(AND(R99&lt;&gt;"",R99&lt;Legend!$C$14),"Timeliness, ","")&amp;IF(AND(U99&lt;&gt;"",U99&lt;Legend!$C$14),"Validity, ","")</f>
        <v/>
      </c>
      <c r="Y99" s="20" t="str">
        <f t="shared" si="14"/>
        <v/>
      </c>
    </row>
    <row r="100" spans="1:25" ht="15.75" customHeight="1" x14ac:dyDescent="0.25">
      <c r="A100" s="11" t="str">
        <f t="shared" si="15"/>
        <v/>
      </c>
      <c r="B100" s="21"/>
      <c r="C100" s="21"/>
      <c r="D100" s="22"/>
      <c r="E100" s="22"/>
      <c r="F100" s="23"/>
      <c r="G100" s="22"/>
      <c r="H100" s="22"/>
      <c r="I100" s="16" t="str">
        <f t="shared" si="8"/>
        <v/>
      </c>
      <c r="J100" s="22"/>
      <c r="K100" s="22"/>
      <c r="L100" s="16" t="str">
        <f t="shared" si="9"/>
        <v/>
      </c>
      <c r="M100" s="22"/>
      <c r="N100" s="22"/>
      <c r="O100" s="16" t="str">
        <f t="shared" si="10"/>
        <v/>
      </c>
      <c r="P100" s="22"/>
      <c r="Q100" s="22"/>
      <c r="R100" s="16" t="str">
        <f t="shared" si="11"/>
        <v/>
      </c>
      <c r="S100" s="22"/>
      <c r="T100" s="22"/>
      <c r="U100" s="16" t="str">
        <f t="shared" si="12"/>
        <v/>
      </c>
      <c r="V100" s="17" t="str">
        <f t="shared" si="13"/>
        <v/>
      </c>
      <c r="W100" s="18" t="str">
        <f>IF(V100="","",IF(V100&gt;=Legend!$C$14,"GREEN",IF(V100&gt;=Legend!$C$15,"YELLOW",IF(V100&gt;=Legend!$C$16,"ORANGE","RED"))))</f>
        <v/>
      </c>
      <c r="X100" s="19" t="str">
        <f>IF(AND(I100&lt;&gt;"",I100&lt;Legend!$C$14),"Accuracy, ","")&amp;IF(AND(L100&lt;&gt;"",L100&lt;Legend!$C$14),"Completeness, ","")&amp;IF(AND(O100&lt;&gt;"",O100&lt;Legend!$C$14),"Consistency, ","")&amp;IF(AND(R100&lt;&gt;"",R100&lt;Legend!$C$14),"Timeliness, ","")&amp;IF(AND(U100&lt;&gt;"",U100&lt;Legend!$C$14),"Validity, ","")</f>
        <v/>
      </c>
      <c r="Y100" s="20" t="str">
        <f t="shared" si="14"/>
        <v/>
      </c>
    </row>
    <row r="101" spans="1:25" ht="15.75" customHeight="1" x14ac:dyDescent="0.25">
      <c r="A101" s="11" t="str">
        <f t="shared" si="15"/>
        <v/>
      </c>
      <c r="B101" s="21"/>
      <c r="C101" s="21"/>
      <c r="D101" s="22"/>
      <c r="E101" s="22"/>
      <c r="F101" s="23"/>
      <c r="G101" s="22"/>
      <c r="H101" s="22"/>
      <c r="I101" s="16" t="str">
        <f t="shared" si="8"/>
        <v/>
      </c>
      <c r="J101" s="22"/>
      <c r="K101" s="22"/>
      <c r="L101" s="16" t="str">
        <f t="shared" si="9"/>
        <v/>
      </c>
      <c r="M101" s="22"/>
      <c r="N101" s="22"/>
      <c r="O101" s="16" t="str">
        <f t="shared" si="10"/>
        <v/>
      </c>
      <c r="P101" s="22"/>
      <c r="Q101" s="22"/>
      <c r="R101" s="16" t="str">
        <f t="shared" si="11"/>
        <v/>
      </c>
      <c r="S101" s="22"/>
      <c r="T101" s="22"/>
      <c r="U101" s="16" t="str">
        <f t="shared" si="12"/>
        <v/>
      </c>
      <c r="V101" s="17" t="str">
        <f t="shared" si="13"/>
        <v/>
      </c>
      <c r="W101" s="18" t="str">
        <f>IF(V101="","",IF(V101&gt;=Legend!$C$14,"GREEN",IF(V101&gt;=Legend!$C$15,"YELLOW",IF(V101&gt;=Legend!$C$16,"ORANGE","RED"))))</f>
        <v/>
      </c>
      <c r="X101" s="19" t="str">
        <f>IF(AND(I101&lt;&gt;"",I101&lt;Legend!$C$14),"Accuracy, ","")&amp;IF(AND(L101&lt;&gt;"",L101&lt;Legend!$C$14),"Completeness, ","")&amp;IF(AND(O101&lt;&gt;"",O101&lt;Legend!$C$14),"Consistency, ","")&amp;IF(AND(R101&lt;&gt;"",R101&lt;Legend!$C$14),"Timeliness, ","")&amp;IF(AND(U101&lt;&gt;"",U101&lt;Legend!$C$14),"Validity, ","")</f>
        <v/>
      </c>
      <c r="Y101" s="20" t="str">
        <f t="shared" si="14"/>
        <v/>
      </c>
    </row>
    <row r="102" spans="1:25" ht="15.75" customHeight="1" x14ac:dyDescent="0.25">
      <c r="A102" s="11" t="str">
        <f t="shared" si="15"/>
        <v/>
      </c>
      <c r="B102" s="21"/>
      <c r="C102" s="21"/>
      <c r="D102" s="22"/>
      <c r="E102" s="22"/>
      <c r="F102" s="23"/>
      <c r="G102" s="22"/>
      <c r="H102" s="22"/>
      <c r="I102" s="16" t="str">
        <f t="shared" si="8"/>
        <v/>
      </c>
      <c r="J102" s="22"/>
      <c r="K102" s="22"/>
      <c r="L102" s="16" t="str">
        <f t="shared" si="9"/>
        <v/>
      </c>
      <c r="M102" s="22"/>
      <c r="N102" s="22"/>
      <c r="O102" s="16" t="str">
        <f t="shared" si="10"/>
        <v/>
      </c>
      <c r="P102" s="22"/>
      <c r="Q102" s="22"/>
      <c r="R102" s="16" t="str">
        <f t="shared" si="11"/>
        <v/>
      </c>
      <c r="S102" s="22"/>
      <c r="T102" s="22"/>
      <c r="U102" s="16" t="str">
        <f t="shared" si="12"/>
        <v/>
      </c>
      <c r="V102" s="17" t="str">
        <f t="shared" si="13"/>
        <v/>
      </c>
      <c r="W102" s="18" t="str">
        <f>IF(V102="","",IF(V102&gt;=Legend!$C$14,"GREEN",IF(V102&gt;=Legend!$C$15,"YELLOW",IF(V102&gt;=Legend!$C$16,"ORANGE","RED"))))</f>
        <v/>
      </c>
      <c r="X102" s="19" t="str">
        <f>IF(AND(I102&lt;&gt;"",I102&lt;Legend!$C$14),"Accuracy, ","")&amp;IF(AND(L102&lt;&gt;"",L102&lt;Legend!$C$14),"Completeness, ","")&amp;IF(AND(O102&lt;&gt;"",O102&lt;Legend!$C$14),"Consistency, ","")&amp;IF(AND(R102&lt;&gt;"",R102&lt;Legend!$C$14),"Timeliness, ","")&amp;IF(AND(U102&lt;&gt;"",U102&lt;Legend!$C$14),"Validity, ","")</f>
        <v/>
      </c>
      <c r="Y102" s="20" t="str">
        <f t="shared" si="14"/>
        <v/>
      </c>
    </row>
    <row r="103" spans="1:25" ht="15.75" customHeight="1" x14ac:dyDescent="0.25">
      <c r="A103" s="11" t="str">
        <f t="shared" si="15"/>
        <v/>
      </c>
      <c r="B103" s="21"/>
      <c r="C103" s="21"/>
      <c r="D103" s="22"/>
      <c r="E103" s="22"/>
      <c r="F103" s="23"/>
      <c r="G103" s="22"/>
      <c r="H103" s="22"/>
      <c r="I103" s="16" t="str">
        <f t="shared" si="8"/>
        <v/>
      </c>
      <c r="J103" s="22"/>
      <c r="K103" s="22"/>
      <c r="L103" s="16" t="str">
        <f t="shared" si="9"/>
        <v/>
      </c>
      <c r="M103" s="22"/>
      <c r="N103" s="22"/>
      <c r="O103" s="16" t="str">
        <f t="shared" si="10"/>
        <v/>
      </c>
      <c r="P103" s="22"/>
      <c r="Q103" s="22"/>
      <c r="R103" s="16" t="str">
        <f t="shared" si="11"/>
        <v/>
      </c>
      <c r="S103" s="22"/>
      <c r="T103" s="22"/>
      <c r="U103" s="16" t="str">
        <f t="shared" si="12"/>
        <v/>
      </c>
      <c r="V103" s="17" t="str">
        <f t="shared" si="13"/>
        <v/>
      </c>
      <c r="W103" s="18" t="str">
        <f>IF(V103="","",IF(V103&gt;=Legend!$C$14,"GREEN",IF(V103&gt;=Legend!$C$15,"YELLOW",IF(V103&gt;=Legend!$C$16,"ORANGE","RED"))))</f>
        <v/>
      </c>
      <c r="X103" s="19" t="str">
        <f>IF(AND(I103&lt;&gt;"",I103&lt;Legend!$C$14),"Accuracy, ","")&amp;IF(AND(L103&lt;&gt;"",L103&lt;Legend!$C$14),"Completeness, ","")&amp;IF(AND(O103&lt;&gt;"",O103&lt;Legend!$C$14),"Consistency, ","")&amp;IF(AND(R103&lt;&gt;"",R103&lt;Legend!$C$14),"Timeliness, ","")&amp;IF(AND(U103&lt;&gt;"",U103&lt;Legend!$C$14),"Validity, ","")</f>
        <v/>
      </c>
      <c r="Y103" s="20" t="str">
        <f t="shared" si="14"/>
        <v/>
      </c>
    </row>
    <row r="104" spans="1:25" ht="15.75" customHeight="1" x14ac:dyDescent="0.25">
      <c r="A104" s="11" t="str">
        <f t="shared" si="15"/>
        <v/>
      </c>
      <c r="B104" s="21"/>
      <c r="C104" s="21"/>
      <c r="D104" s="22"/>
      <c r="E104" s="22"/>
      <c r="F104" s="23"/>
      <c r="G104" s="22"/>
      <c r="H104" s="22"/>
      <c r="I104" s="16" t="str">
        <f t="shared" si="8"/>
        <v/>
      </c>
      <c r="J104" s="22"/>
      <c r="K104" s="22"/>
      <c r="L104" s="16" t="str">
        <f t="shared" si="9"/>
        <v/>
      </c>
      <c r="M104" s="22"/>
      <c r="N104" s="22"/>
      <c r="O104" s="16" t="str">
        <f t="shared" si="10"/>
        <v/>
      </c>
      <c r="P104" s="22"/>
      <c r="Q104" s="22"/>
      <c r="R104" s="16" t="str">
        <f t="shared" si="11"/>
        <v/>
      </c>
      <c r="S104" s="22"/>
      <c r="T104" s="22"/>
      <c r="U104" s="16" t="str">
        <f t="shared" si="12"/>
        <v/>
      </c>
      <c r="V104" s="17" t="str">
        <f t="shared" si="13"/>
        <v/>
      </c>
      <c r="W104" s="18" t="str">
        <f>IF(V104="","",IF(V104&gt;=Legend!$C$14,"GREEN",IF(V104&gt;=Legend!$C$15,"YELLOW",IF(V104&gt;=Legend!$C$16,"ORANGE","RED"))))</f>
        <v/>
      </c>
      <c r="X104" s="19" t="str">
        <f>IF(AND(I104&lt;&gt;"",I104&lt;Legend!$C$14),"Accuracy, ","")&amp;IF(AND(L104&lt;&gt;"",L104&lt;Legend!$C$14),"Completeness, ","")&amp;IF(AND(O104&lt;&gt;"",O104&lt;Legend!$C$14),"Consistency, ","")&amp;IF(AND(R104&lt;&gt;"",R104&lt;Legend!$C$14),"Timeliness, ","")&amp;IF(AND(U104&lt;&gt;"",U104&lt;Legend!$C$14),"Validity, ","")</f>
        <v/>
      </c>
      <c r="Y104" s="20" t="str">
        <f t="shared" si="14"/>
        <v/>
      </c>
    </row>
    <row r="105" spans="1:25" ht="15.75" customHeight="1" x14ac:dyDescent="0.25">
      <c r="A105" s="11" t="str">
        <f t="shared" si="15"/>
        <v/>
      </c>
      <c r="B105" s="21"/>
      <c r="C105" s="21"/>
      <c r="D105" s="22"/>
      <c r="E105" s="22"/>
      <c r="F105" s="23"/>
      <c r="G105" s="22"/>
      <c r="H105" s="22"/>
      <c r="I105" s="16" t="str">
        <f t="shared" si="8"/>
        <v/>
      </c>
      <c r="J105" s="22"/>
      <c r="K105" s="22"/>
      <c r="L105" s="16" t="str">
        <f t="shared" si="9"/>
        <v/>
      </c>
      <c r="M105" s="22"/>
      <c r="N105" s="22"/>
      <c r="O105" s="16" t="str">
        <f t="shared" si="10"/>
        <v/>
      </c>
      <c r="P105" s="22"/>
      <c r="Q105" s="22"/>
      <c r="R105" s="16" t="str">
        <f t="shared" si="11"/>
        <v/>
      </c>
      <c r="S105" s="22"/>
      <c r="T105" s="22"/>
      <c r="U105" s="16" t="str">
        <f t="shared" si="12"/>
        <v/>
      </c>
      <c r="V105" s="17" t="str">
        <f t="shared" si="13"/>
        <v/>
      </c>
      <c r="W105" s="18" t="str">
        <f>IF(V105="","",IF(V105&gt;=Legend!$C$14,"GREEN",IF(V105&gt;=Legend!$C$15,"YELLOW",IF(V105&gt;=Legend!$C$16,"ORANGE","RED"))))</f>
        <v/>
      </c>
      <c r="X105" s="19" t="str">
        <f>IF(AND(I105&lt;&gt;"",I105&lt;Legend!$C$14),"Accuracy, ","")&amp;IF(AND(L105&lt;&gt;"",L105&lt;Legend!$C$14),"Completeness, ","")&amp;IF(AND(O105&lt;&gt;"",O105&lt;Legend!$C$14),"Consistency, ","")&amp;IF(AND(R105&lt;&gt;"",R105&lt;Legend!$C$14),"Timeliness, ","")&amp;IF(AND(U105&lt;&gt;"",U105&lt;Legend!$C$14),"Validity, ","")</f>
        <v/>
      </c>
      <c r="Y105" s="20" t="str">
        <f t="shared" si="14"/>
        <v/>
      </c>
    </row>
    <row r="106" spans="1:25" ht="15.75" customHeight="1" x14ac:dyDescent="0.25">
      <c r="A106" s="11" t="str">
        <f t="shared" si="15"/>
        <v/>
      </c>
      <c r="B106" s="21"/>
      <c r="C106" s="21"/>
      <c r="D106" s="22"/>
      <c r="E106" s="22"/>
      <c r="F106" s="23"/>
      <c r="G106" s="22"/>
      <c r="H106" s="22"/>
      <c r="I106" s="16" t="str">
        <f t="shared" si="8"/>
        <v/>
      </c>
      <c r="J106" s="22"/>
      <c r="K106" s="22"/>
      <c r="L106" s="16" t="str">
        <f t="shared" si="9"/>
        <v/>
      </c>
      <c r="M106" s="22"/>
      <c r="N106" s="22"/>
      <c r="O106" s="16" t="str">
        <f t="shared" si="10"/>
        <v/>
      </c>
      <c r="P106" s="22"/>
      <c r="Q106" s="22"/>
      <c r="R106" s="16" t="str">
        <f t="shared" si="11"/>
        <v/>
      </c>
      <c r="S106" s="22"/>
      <c r="T106" s="22"/>
      <c r="U106" s="16" t="str">
        <f t="shared" si="12"/>
        <v/>
      </c>
      <c r="V106" s="17" t="str">
        <f t="shared" si="13"/>
        <v/>
      </c>
      <c r="W106" s="18" t="str">
        <f>IF(V106="","",IF(V106&gt;=Legend!$C$14,"GREEN",IF(V106&gt;=Legend!$C$15,"YELLOW",IF(V106&gt;=Legend!$C$16,"ORANGE","RED"))))</f>
        <v/>
      </c>
      <c r="X106" s="19" t="str">
        <f>IF(AND(I106&lt;&gt;"",I106&lt;Legend!$C$14),"Accuracy, ","")&amp;IF(AND(L106&lt;&gt;"",L106&lt;Legend!$C$14),"Completeness, ","")&amp;IF(AND(O106&lt;&gt;"",O106&lt;Legend!$C$14),"Consistency, ","")&amp;IF(AND(R106&lt;&gt;"",R106&lt;Legend!$C$14),"Timeliness, ","")&amp;IF(AND(U106&lt;&gt;"",U106&lt;Legend!$C$14),"Validity, ","")</f>
        <v/>
      </c>
      <c r="Y106" s="20" t="str">
        <f t="shared" si="14"/>
        <v/>
      </c>
    </row>
    <row r="107" spans="1:25" ht="15.75" customHeight="1" x14ac:dyDescent="0.25">
      <c r="A107" s="11" t="str">
        <f t="shared" si="15"/>
        <v/>
      </c>
      <c r="B107" s="21"/>
      <c r="C107" s="21"/>
      <c r="D107" s="22"/>
      <c r="E107" s="22"/>
      <c r="F107" s="23"/>
      <c r="G107" s="22"/>
      <c r="H107" s="22"/>
      <c r="I107" s="16" t="str">
        <f t="shared" si="8"/>
        <v/>
      </c>
      <c r="J107" s="22"/>
      <c r="K107" s="22"/>
      <c r="L107" s="16" t="str">
        <f t="shared" si="9"/>
        <v/>
      </c>
      <c r="M107" s="22"/>
      <c r="N107" s="22"/>
      <c r="O107" s="16" t="str">
        <f t="shared" si="10"/>
        <v/>
      </c>
      <c r="P107" s="22"/>
      <c r="Q107" s="22"/>
      <c r="R107" s="16" t="str">
        <f t="shared" si="11"/>
        <v/>
      </c>
      <c r="S107" s="22"/>
      <c r="T107" s="22"/>
      <c r="U107" s="16" t="str">
        <f t="shared" si="12"/>
        <v/>
      </c>
      <c r="V107" s="17" t="str">
        <f t="shared" si="13"/>
        <v/>
      </c>
      <c r="W107" s="18" t="str">
        <f>IF(V107="","",IF(V107&gt;=Legend!$C$14,"GREEN",IF(V107&gt;=Legend!$C$15,"YELLOW",IF(V107&gt;=Legend!$C$16,"ORANGE","RED"))))</f>
        <v/>
      </c>
      <c r="X107" s="19" t="str">
        <f>IF(AND(I107&lt;&gt;"",I107&lt;Legend!$C$14),"Accuracy, ","")&amp;IF(AND(L107&lt;&gt;"",L107&lt;Legend!$C$14),"Completeness, ","")&amp;IF(AND(O107&lt;&gt;"",O107&lt;Legend!$C$14),"Consistency, ","")&amp;IF(AND(R107&lt;&gt;"",R107&lt;Legend!$C$14),"Timeliness, ","")&amp;IF(AND(U107&lt;&gt;"",U107&lt;Legend!$C$14),"Validity, ","")</f>
        <v/>
      </c>
      <c r="Y107" s="20" t="str">
        <f t="shared" si="14"/>
        <v/>
      </c>
    </row>
    <row r="108" spans="1:25" ht="15.75" customHeight="1" x14ac:dyDescent="0.25">
      <c r="A108" s="11" t="str">
        <f t="shared" si="15"/>
        <v/>
      </c>
      <c r="B108" s="21"/>
      <c r="C108" s="21"/>
      <c r="D108" s="22"/>
      <c r="E108" s="22"/>
      <c r="F108" s="23"/>
      <c r="G108" s="22"/>
      <c r="H108" s="22"/>
      <c r="I108" s="16" t="str">
        <f t="shared" si="8"/>
        <v/>
      </c>
      <c r="J108" s="22"/>
      <c r="K108" s="22"/>
      <c r="L108" s="16" t="str">
        <f t="shared" si="9"/>
        <v/>
      </c>
      <c r="M108" s="22"/>
      <c r="N108" s="22"/>
      <c r="O108" s="16" t="str">
        <f t="shared" si="10"/>
        <v/>
      </c>
      <c r="P108" s="22"/>
      <c r="Q108" s="22"/>
      <c r="R108" s="16" t="str">
        <f t="shared" si="11"/>
        <v/>
      </c>
      <c r="S108" s="22"/>
      <c r="T108" s="22"/>
      <c r="U108" s="16" t="str">
        <f t="shared" si="12"/>
        <v/>
      </c>
      <c r="V108" s="17" t="str">
        <f t="shared" si="13"/>
        <v/>
      </c>
      <c r="W108" s="18" t="str">
        <f>IF(V108="","",IF(V108&gt;=Legend!$C$14,"GREEN",IF(V108&gt;=Legend!$C$15,"YELLOW",IF(V108&gt;=Legend!$C$16,"ORANGE","RED"))))</f>
        <v/>
      </c>
      <c r="X108" s="19" t="str">
        <f>IF(AND(I108&lt;&gt;"",I108&lt;Legend!$C$14),"Accuracy, ","")&amp;IF(AND(L108&lt;&gt;"",L108&lt;Legend!$C$14),"Completeness, ","")&amp;IF(AND(O108&lt;&gt;"",O108&lt;Legend!$C$14),"Consistency, ","")&amp;IF(AND(R108&lt;&gt;"",R108&lt;Legend!$C$14),"Timeliness, ","")&amp;IF(AND(U108&lt;&gt;"",U108&lt;Legend!$C$14),"Validity, ","")</f>
        <v/>
      </c>
      <c r="Y108" s="20" t="str">
        <f t="shared" si="14"/>
        <v/>
      </c>
    </row>
    <row r="109" spans="1:25" ht="15.75" customHeight="1" x14ac:dyDescent="0.25">
      <c r="A109" s="11" t="str">
        <f t="shared" si="15"/>
        <v/>
      </c>
      <c r="B109" s="21"/>
      <c r="C109" s="21"/>
      <c r="D109" s="22"/>
      <c r="E109" s="22"/>
      <c r="F109" s="23"/>
      <c r="G109" s="22"/>
      <c r="H109" s="22"/>
      <c r="I109" s="16" t="str">
        <f t="shared" si="8"/>
        <v/>
      </c>
      <c r="J109" s="22"/>
      <c r="K109" s="22"/>
      <c r="L109" s="16" t="str">
        <f t="shared" si="9"/>
        <v/>
      </c>
      <c r="M109" s="22"/>
      <c r="N109" s="22"/>
      <c r="O109" s="16" t="str">
        <f t="shared" si="10"/>
        <v/>
      </c>
      <c r="P109" s="22"/>
      <c r="Q109" s="22"/>
      <c r="R109" s="16" t="str">
        <f t="shared" si="11"/>
        <v/>
      </c>
      <c r="S109" s="22"/>
      <c r="T109" s="22"/>
      <c r="U109" s="16" t="str">
        <f t="shared" si="12"/>
        <v/>
      </c>
      <c r="V109" s="17" t="str">
        <f t="shared" si="13"/>
        <v/>
      </c>
      <c r="W109" s="18" t="str">
        <f>IF(V109="","",IF(V109&gt;=Legend!$C$14,"GREEN",IF(V109&gt;=Legend!$C$15,"YELLOW",IF(V109&gt;=Legend!$C$16,"ORANGE","RED"))))</f>
        <v/>
      </c>
      <c r="X109" s="19" t="str">
        <f>IF(AND(I109&lt;&gt;"",I109&lt;Legend!$C$14),"Accuracy, ","")&amp;IF(AND(L109&lt;&gt;"",L109&lt;Legend!$C$14),"Completeness, ","")&amp;IF(AND(O109&lt;&gt;"",O109&lt;Legend!$C$14),"Consistency, ","")&amp;IF(AND(R109&lt;&gt;"",R109&lt;Legend!$C$14),"Timeliness, ","")&amp;IF(AND(U109&lt;&gt;"",U109&lt;Legend!$C$14),"Validity, ","")</f>
        <v/>
      </c>
      <c r="Y109" s="20" t="str">
        <f t="shared" si="14"/>
        <v/>
      </c>
    </row>
    <row r="110" spans="1:25" ht="15.75" customHeight="1" x14ac:dyDescent="0.25">
      <c r="A110" s="11" t="str">
        <f t="shared" si="15"/>
        <v/>
      </c>
      <c r="B110" s="21"/>
      <c r="C110" s="21"/>
      <c r="D110" s="22"/>
      <c r="E110" s="22"/>
      <c r="F110" s="23"/>
      <c r="G110" s="22"/>
      <c r="H110" s="22"/>
      <c r="I110" s="16" t="str">
        <f t="shared" si="8"/>
        <v/>
      </c>
      <c r="J110" s="22"/>
      <c r="K110" s="22"/>
      <c r="L110" s="16" t="str">
        <f t="shared" si="9"/>
        <v/>
      </c>
      <c r="M110" s="22"/>
      <c r="N110" s="22"/>
      <c r="O110" s="16" t="str">
        <f t="shared" si="10"/>
        <v/>
      </c>
      <c r="P110" s="22"/>
      <c r="Q110" s="22"/>
      <c r="R110" s="16" t="str">
        <f t="shared" si="11"/>
        <v/>
      </c>
      <c r="S110" s="22"/>
      <c r="T110" s="22"/>
      <c r="U110" s="16" t="str">
        <f t="shared" si="12"/>
        <v/>
      </c>
      <c r="V110" s="17" t="str">
        <f t="shared" si="13"/>
        <v/>
      </c>
      <c r="W110" s="18" t="str">
        <f>IF(V110="","",IF(V110&gt;=Legend!$C$14,"GREEN",IF(V110&gt;=Legend!$C$15,"YELLOW",IF(V110&gt;=Legend!$C$16,"ORANGE","RED"))))</f>
        <v/>
      </c>
      <c r="X110" s="19" t="str">
        <f>IF(AND(I110&lt;&gt;"",I110&lt;Legend!$C$14),"Accuracy, ","")&amp;IF(AND(L110&lt;&gt;"",L110&lt;Legend!$C$14),"Completeness, ","")&amp;IF(AND(O110&lt;&gt;"",O110&lt;Legend!$C$14),"Consistency, ","")&amp;IF(AND(R110&lt;&gt;"",R110&lt;Legend!$C$14),"Timeliness, ","")&amp;IF(AND(U110&lt;&gt;"",U110&lt;Legend!$C$14),"Validity, ","")</f>
        <v/>
      </c>
      <c r="Y110" s="20" t="str">
        <f t="shared" si="14"/>
        <v/>
      </c>
    </row>
    <row r="111" spans="1:25" ht="15.75" customHeight="1" x14ac:dyDescent="0.25">
      <c r="A111" s="11" t="str">
        <f t="shared" si="15"/>
        <v/>
      </c>
      <c r="B111" s="21"/>
      <c r="C111" s="21"/>
      <c r="D111" s="22"/>
      <c r="E111" s="22"/>
      <c r="F111" s="23"/>
      <c r="G111" s="22"/>
      <c r="H111" s="22"/>
      <c r="I111" s="16" t="str">
        <f t="shared" si="8"/>
        <v/>
      </c>
      <c r="J111" s="22"/>
      <c r="K111" s="22"/>
      <c r="L111" s="16" t="str">
        <f t="shared" si="9"/>
        <v/>
      </c>
      <c r="M111" s="22"/>
      <c r="N111" s="22"/>
      <c r="O111" s="16" t="str">
        <f t="shared" si="10"/>
        <v/>
      </c>
      <c r="P111" s="22"/>
      <c r="Q111" s="22"/>
      <c r="R111" s="16" t="str">
        <f t="shared" si="11"/>
        <v/>
      </c>
      <c r="S111" s="22"/>
      <c r="T111" s="22"/>
      <c r="U111" s="16" t="str">
        <f t="shared" si="12"/>
        <v/>
      </c>
      <c r="V111" s="17" t="str">
        <f t="shared" si="13"/>
        <v/>
      </c>
      <c r="W111" s="18" t="str">
        <f>IF(V111="","",IF(V111&gt;=Legend!$C$14,"GREEN",IF(V111&gt;=Legend!$C$15,"YELLOW",IF(V111&gt;=Legend!$C$16,"ORANGE","RED"))))</f>
        <v/>
      </c>
      <c r="X111" s="19" t="str">
        <f>IF(AND(I111&lt;&gt;"",I111&lt;Legend!$C$14),"Accuracy, ","")&amp;IF(AND(L111&lt;&gt;"",L111&lt;Legend!$C$14),"Completeness, ","")&amp;IF(AND(O111&lt;&gt;"",O111&lt;Legend!$C$14),"Consistency, ","")&amp;IF(AND(R111&lt;&gt;"",R111&lt;Legend!$C$14),"Timeliness, ","")&amp;IF(AND(U111&lt;&gt;"",U111&lt;Legend!$C$14),"Validity, ","")</f>
        <v/>
      </c>
      <c r="Y111" s="20" t="str">
        <f t="shared" si="14"/>
        <v/>
      </c>
    </row>
    <row r="112" spans="1:25" ht="15.75" customHeight="1" x14ac:dyDescent="0.25">
      <c r="A112" s="11" t="str">
        <f t="shared" si="15"/>
        <v/>
      </c>
      <c r="B112" s="21"/>
      <c r="C112" s="21"/>
      <c r="D112" s="22"/>
      <c r="E112" s="22"/>
      <c r="F112" s="23"/>
      <c r="G112" s="22"/>
      <c r="H112" s="22"/>
      <c r="I112" s="16" t="str">
        <f t="shared" si="8"/>
        <v/>
      </c>
      <c r="J112" s="22"/>
      <c r="K112" s="22"/>
      <c r="L112" s="16" t="str">
        <f t="shared" si="9"/>
        <v/>
      </c>
      <c r="M112" s="22"/>
      <c r="N112" s="22"/>
      <c r="O112" s="16" t="str">
        <f t="shared" si="10"/>
        <v/>
      </c>
      <c r="P112" s="22"/>
      <c r="Q112" s="22"/>
      <c r="R112" s="16" t="str">
        <f t="shared" si="11"/>
        <v/>
      </c>
      <c r="S112" s="22"/>
      <c r="T112" s="22"/>
      <c r="U112" s="16" t="str">
        <f t="shared" si="12"/>
        <v/>
      </c>
      <c r="V112" s="17" t="str">
        <f t="shared" si="13"/>
        <v/>
      </c>
      <c r="W112" s="18" t="str">
        <f>IF(V112="","",IF(V112&gt;=Legend!$C$14,"GREEN",IF(V112&gt;=Legend!$C$15,"YELLOW",IF(V112&gt;=Legend!$C$16,"ORANGE","RED"))))</f>
        <v/>
      </c>
      <c r="X112" s="19" t="str">
        <f>IF(AND(I112&lt;&gt;"",I112&lt;Legend!$C$14),"Accuracy, ","")&amp;IF(AND(L112&lt;&gt;"",L112&lt;Legend!$C$14),"Completeness, ","")&amp;IF(AND(O112&lt;&gt;"",O112&lt;Legend!$C$14),"Consistency, ","")&amp;IF(AND(R112&lt;&gt;"",R112&lt;Legend!$C$14),"Timeliness, ","")&amp;IF(AND(U112&lt;&gt;"",U112&lt;Legend!$C$14),"Validity, ","")</f>
        <v/>
      </c>
      <c r="Y112" s="20" t="str">
        <f t="shared" si="14"/>
        <v/>
      </c>
    </row>
    <row r="113" spans="1:25" ht="15.75" customHeight="1" x14ac:dyDescent="0.25">
      <c r="A113" s="11" t="str">
        <f t="shared" si="15"/>
        <v/>
      </c>
      <c r="B113" s="21"/>
      <c r="C113" s="21"/>
      <c r="D113" s="22"/>
      <c r="E113" s="22"/>
      <c r="F113" s="23"/>
      <c r="G113" s="22"/>
      <c r="H113" s="22"/>
      <c r="I113" s="16" t="str">
        <f t="shared" si="8"/>
        <v/>
      </c>
      <c r="J113" s="22"/>
      <c r="K113" s="22"/>
      <c r="L113" s="16" t="str">
        <f t="shared" si="9"/>
        <v/>
      </c>
      <c r="M113" s="22"/>
      <c r="N113" s="22"/>
      <c r="O113" s="16" t="str">
        <f t="shared" si="10"/>
        <v/>
      </c>
      <c r="P113" s="22"/>
      <c r="Q113" s="22"/>
      <c r="R113" s="16" t="str">
        <f t="shared" si="11"/>
        <v/>
      </c>
      <c r="S113" s="22"/>
      <c r="T113" s="22"/>
      <c r="U113" s="16" t="str">
        <f t="shared" si="12"/>
        <v/>
      </c>
      <c r="V113" s="17" t="str">
        <f t="shared" si="13"/>
        <v/>
      </c>
      <c r="W113" s="18" t="str">
        <f>IF(V113="","",IF(V113&gt;=Legend!$C$14,"GREEN",IF(V113&gt;=Legend!$C$15,"YELLOW",IF(V113&gt;=Legend!$C$16,"ORANGE","RED"))))</f>
        <v/>
      </c>
      <c r="X113" s="19" t="str">
        <f>IF(AND(I113&lt;&gt;"",I113&lt;Legend!$C$14),"Accuracy, ","")&amp;IF(AND(L113&lt;&gt;"",L113&lt;Legend!$C$14),"Completeness, ","")&amp;IF(AND(O113&lt;&gt;"",O113&lt;Legend!$C$14),"Consistency, ","")&amp;IF(AND(R113&lt;&gt;"",R113&lt;Legend!$C$14),"Timeliness, ","")&amp;IF(AND(U113&lt;&gt;"",U113&lt;Legend!$C$14),"Validity, ","")</f>
        <v/>
      </c>
      <c r="Y113" s="20" t="str">
        <f t="shared" si="14"/>
        <v/>
      </c>
    </row>
    <row r="114" spans="1:25" ht="15.75" customHeight="1" x14ac:dyDescent="0.25">
      <c r="A114" s="11" t="str">
        <f t="shared" si="15"/>
        <v/>
      </c>
      <c r="B114" s="21"/>
      <c r="C114" s="21"/>
      <c r="D114" s="22"/>
      <c r="E114" s="22"/>
      <c r="F114" s="23"/>
      <c r="G114" s="22"/>
      <c r="H114" s="22"/>
      <c r="I114" s="16" t="str">
        <f t="shared" si="8"/>
        <v/>
      </c>
      <c r="J114" s="22"/>
      <c r="K114" s="22"/>
      <c r="L114" s="16" t="str">
        <f t="shared" si="9"/>
        <v/>
      </c>
      <c r="M114" s="22"/>
      <c r="N114" s="22"/>
      <c r="O114" s="16" t="str">
        <f t="shared" si="10"/>
        <v/>
      </c>
      <c r="P114" s="22"/>
      <c r="Q114" s="22"/>
      <c r="R114" s="16" t="str">
        <f t="shared" si="11"/>
        <v/>
      </c>
      <c r="S114" s="22"/>
      <c r="T114" s="22"/>
      <c r="U114" s="16" t="str">
        <f t="shared" si="12"/>
        <v/>
      </c>
      <c r="V114" s="17" t="str">
        <f t="shared" si="13"/>
        <v/>
      </c>
      <c r="W114" s="18" t="str">
        <f>IF(V114="","",IF(V114&gt;=Legend!$C$14,"GREEN",IF(V114&gt;=Legend!$C$15,"YELLOW",IF(V114&gt;=Legend!$C$16,"ORANGE","RED"))))</f>
        <v/>
      </c>
      <c r="X114" s="19" t="str">
        <f>IF(AND(I114&lt;&gt;"",I114&lt;Legend!$C$14),"Accuracy, ","")&amp;IF(AND(L114&lt;&gt;"",L114&lt;Legend!$C$14),"Completeness, ","")&amp;IF(AND(O114&lt;&gt;"",O114&lt;Legend!$C$14),"Consistency, ","")&amp;IF(AND(R114&lt;&gt;"",R114&lt;Legend!$C$14),"Timeliness, ","")&amp;IF(AND(U114&lt;&gt;"",U114&lt;Legend!$C$14),"Validity, ","")</f>
        <v/>
      </c>
      <c r="Y114" s="20" t="str">
        <f t="shared" si="14"/>
        <v/>
      </c>
    </row>
    <row r="115" spans="1:25" ht="15.75" customHeight="1" x14ac:dyDescent="0.25">
      <c r="A115" s="11" t="str">
        <f t="shared" si="15"/>
        <v/>
      </c>
      <c r="B115" s="21"/>
      <c r="C115" s="21"/>
      <c r="D115" s="22"/>
      <c r="E115" s="22"/>
      <c r="F115" s="23"/>
      <c r="G115" s="22"/>
      <c r="H115" s="22"/>
      <c r="I115" s="16" t="str">
        <f t="shared" si="8"/>
        <v/>
      </c>
      <c r="J115" s="22"/>
      <c r="K115" s="22"/>
      <c r="L115" s="16" t="str">
        <f t="shared" si="9"/>
        <v/>
      </c>
      <c r="M115" s="22"/>
      <c r="N115" s="22"/>
      <c r="O115" s="16" t="str">
        <f t="shared" si="10"/>
        <v/>
      </c>
      <c r="P115" s="22"/>
      <c r="Q115" s="22"/>
      <c r="R115" s="16" t="str">
        <f t="shared" si="11"/>
        <v/>
      </c>
      <c r="S115" s="22"/>
      <c r="T115" s="22"/>
      <c r="U115" s="16" t="str">
        <f t="shared" si="12"/>
        <v/>
      </c>
      <c r="V115" s="17" t="str">
        <f t="shared" si="13"/>
        <v/>
      </c>
      <c r="W115" s="18" t="str">
        <f>IF(V115="","",IF(V115&gt;=Legend!$C$14,"GREEN",IF(V115&gt;=Legend!$C$15,"YELLOW",IF(V115&gt;=Legend!$C$16,"ORANGE","RED"))))</f>
        <v/>
      </c>
      <c r="X115" s="19" t="str">
        <f>IF(AND(I115&lt;&gt;"",I115&lt;Legend!$C$14),"Accuracy, ","")&amp;IF(AND(L115&lt;&gt;"",L115&lt;Legend!$C$14),"Completeness, ","")&amp;IF(AND(O115&lt;&gt;"",O115&lt;Legend!$C$14),"Consistency, ","")&amp;IF(AND(R115&lt;&gt;"",R115&lt;Legend!$C$14),"Timeliness, ","")&amp;IF(AND(U115&lt;&gt;"",U115&lt;Legend!$C$14),"Validity, ","")</f>
        <v/>
      </c>
      <c r="Y115" s="20" t="str">
        <f t="shared" si="14"/>
        <v/>
      </c>
    </row>
    <row r="116" spans="1:25" ht="15.75" customHeight="1" x14ac:dyDescent="0.25">
      <c r="A116" s="11" t="str">
        <f t="shared" si="15"/>
        <v/>
      </c>
      <c r="B116" s="21"/>
      <c r="C116" s="21"/>
      <c r="D116" s="22"/>
      <c r="E116" s="22"/>
      <c r="F116" s="23"/>
      <c r="G116" s="22"/>
      <c r="H116" s="22"/>
      <c r="I116" s="16" t="str">
        <f t="shared" si="8"/>
        <v/>
      </c>
      <c r="J116" s="22"/>
      <c r="K116" s="22"/>
      <c r="L116" s="16" t="str">
        <f t="shared" si="9"/>
        <v/>
      </c>
      <c r="M116" s="22"/>
      <c r="N116" s="22"/>
      <c r="O116" s="16" t="str">
        <f t="shared" si="10"/>
        <v/>
      </c>
      <c r="P116" s="22"/>
      <c r="Q116" s="22"/>
      <c r="R116" s="16" t="str">
        <f t="shared" si="11"/>
        <v/>
      </c>
      <c r="S116" s="22"/>
      <c r="T116" s="22"/>
      <c r="U116" s="16" t="str">
        <f t="shared" si="12"/>
        <v/>
      </c>
      <c r="V116" s="17" t="str">
        <f t="shared" si="13"/>
        <v/>
      </c>
      <c r="W116" s="18" t="str">
        <f>IF(V116="","",IF(V116&gt;=Legend!$C$14,"GREEN",IF(V116&gt;=Legend!$C$15,"YELLOW",IF(V116&gt;=Legend!$C$16,"ORANGE","RED"))))</f>
        <v/>
      </c>
      <c r="X116" s="19" t="str">
        <f>IF(AND(I116&lt;&gt;"",I116&lt;Legend!$C$14),"Accuracy, ","")&amp;IF(AND(L116&lt;&gt;"",L116&lt;Legend!$C$14),"Completeness, ","")&amp;IF(AND(O116&lt;&gt;"",O116&lt;Legend!$C$14),"Consistency, ","")&amp;IF(AND(R116&lt;&gt;"",R116&lt;Legend!$C$14),"Timeliness, ","")&amp;IF(AND(U116&lt;&gt;"",U116&lt;Legend!$C$14),"Validity, ","")</f>
        <v/>
      </c>
      <c r="Y116" s="20" t="str">
        <f t="shared" si="14"/>
        <v/>
      </c>
    </row>
    <row r="117" spans="1:25" ht="15.75" customHeight="1" x14ac:dyDescent="0.25">
      <c r="A117" s="11" t="str">
        <f t="shared" si="15"/>
        <v/>
      </c>
      <c r="B117" s="21"/>
      <c r="C117" s="21"/>
      <c r="D117" s="22"/>
      <c r="E117" s="22"/>
      <c r="F117" s="23"/>
      <c r="G117" s="22"/>
      <c r="H117" s="22"/>
      <c r="I117" s="16" t="str">
        <f t="shared" si="8"/>
        <v/>
      </c>
      <c r="J117" s="22"/>
      <c r="K117" s="22"/>
      <c r="L117" s="16" t="str">
        <f t="shared" si="9"/>
        <v/>
      </c>
      <c r="M117" s="22"/>
      <c r="N117" s="22"/>
      <c r="O117" s="16" t="str">
        <f t="shared" si="10"/>
        <v/>
      </c>
      <c r="P117" s="22"/>
      <c r="Q117" s="22"/>
      <c r="R117" s="16" t="str">
        <f t="shared" si="11"/>
        <v/>
      </c>
      <c r="S117" s="22"/>
      <c r="T117" s="22"/>
      <c r="U117" s="16" t="str">
        <f t="shared" si="12"/>
        <v/>
      </c>
      <c r="V117" s="17" t="str">
        <f t="shared" si="13"/>
        <v/>
      </c>
      <c r="W117" s="18" t="str">
        <f>IF(V117="","",IF(V117&gt;=Legend!$C$14,"GREEN",IF(V117&gt;=Legend!$C$15,"YELLOW",IF(V117&gt;=Legend!$C$16,"ORANGE","RED"))))</f>
        <v/>
      </c>
      <c r="X117" s="19" t="str">
        <f>IF(AND(I117&lt;&gt;"",I117&lt;Legend!$C$14),"Accuracy, ","")&amp;IF(AND(L117&lt;&gt;"",L117&lt;Legend!$C$14),"Completeness, ","")&amp;IF(AND(O117&lt;&gt;"",O117&lt;Legend!$C$14),"Consistency, ","")&amp;IF(AND(R117&lt;&gt;"",R117&lt;Legend!$C$14),"Timeliness, ","")&amp;IF(AND(U117&lt;&gt;"",U117&lt;Legend!$C$14),"Validity, ","")</f>
        <v/>
      </c>
      <c r="Y117" s="20" t="str">
        <f t="shared" si="14"/>
        <v/>
      </c>
    </row>
    <row r="118" spans="1:25" ht="15.75" customHeight="1" x14ac:dyDescent="0.25">
      <c r="A118" s="11" t="str">
        <f t="shared" si="15"/>
        <v/>
      </c>
      <c r="B118" s="21"/>
      <c r="C118" s="21"/>
      <c r="D118" s="22"/>
      <c r="E118" s="22"/>
      <c r="F118" s="23"/>
      <c r="G118" s="22"/>
      <c r="H118" s="22"/>
      <c r="I118" s="16" t="str">
        <f t="shared" si="8"/>
        <v/>
      </c>
      <c r="J118" s="22"/>
      <c r="K118" s="22"/>
      <c r="L118" s="16" t="str">
        <f t="shared" si="9"/>
        <v/>
      </c>
      <c r="M118" s="22"/>
      <c r="N118" s="22"/>
      <c r="O118" s="16" t="str">
        <f t="shared" si="10"/>
        <v/>
      </c>
      <c r="P118" s="22"/>
      <c r="Q118" s="22"/>
      <c r="R118" s="16" t="str">
        <f t="shared" si="11"/>
        <v/>
      </c>
      <c r="S118" s="22"/>
      <c r="T118" s="22"/>
      <c r="U118" s="16" t="str">
        <f t="shared" si="12"/>
        <v/>
      </c>
      <c r="V118" s="17" t="str">
        <f t="shared" si="13"/>
        <v/>
      </c>
      <c r="W118" s="18" t="str">
        <f>IF(V118="","",IF(V118&gt;=Legend!$C$14,"GREEN",IF(V118&gt;=Legend!$C$15,"YELLOW",IF(V118&gt;=Legend!$C$16,"ORANGE","RED"))))</f>
        <v/>
      </c>
      <c r="X118" s="19" t="str">
        <f>IF(AND(I118&lt;&gt;"",I118&lt;Legend!$C$14),"Accuracy, ","")&amp;IF(AND(L118&lt;&gt;"",L118&lt;Legend!$C$14),"Completeness, ","")&amp;IF(AND(O118&lt;&gt;"",O118&lt;Legend!$C$14),"Consistency, ","")&amp;IF(AND(R118&lt;&gt;"",R118&lt;Legend!$C$14),"Timeliness, ","")&amp;IF(AND(U118&lt;&gt;"",U118&lt;Legend!$C$14),"Validity, ","")</f>
        <v/>
      </c>
      <c r="Y118" s="20" t="str">
        <f t="shared" si="14"/>
        <v/>
      </c>
    </row>
    <row r="119" spans="1:25" ht="15.75" customHeight="1" x14ac:dyDescent="0.25">
      <c r="A119" s="11" t="str">
        <f t="shared" si="15"/>
        <v/>
      </c>
      <c r="B119" s="21"/>
      <c r="C119" s="21"/>
      <c r="D119" s="22"/>
      <c r="E119" s="22"/>
      <c r="F119" s="23"/>
      <c r="G119" s="22"/>
      <c r="H119" s="22"/>
      <c r="I119" s="16" t="str">
        <f t="shared" si="8"/>
        <v/>
      </c>
      <c r="J119" s="22"/>
      <c r="K119" s="22"/>
      <c r="L119" s="16" t="str">
        <f t="shared" si="9"/>
        <v/>
      </c>
      <c r="M119" s="22"/>
      <c r="N119" s="22"/>
      <c r="O119" s="16" t="str">
        <f t="shared" si="10"/>
        <v/>
      </c>
      <c r="P119" s="22"/>
      <c r="Q119" s="22"/>
      <c r="R119" s="16" t="str">
        <f t="shared" si="11"/>
        <v/>
      </c>
      <c r="S119" s="22"/>
      <c r="T119" s="22"/>
      <c r="U119" s="16" t="str">
        <f t="shared" si="12"/>
        <v/>
      </c>
      <c r="V119" s="17" t="str">
        <f t="shared" si="13"/>
        <v/>
      </c>
      <c r="W119" s="18" t="str">
        <f>IF(V119="","",IF(V119&gt;=Legend!$C$14,"GREEN",IF(V119&gt;=Legend!$C$15,"YELLOW",IF(V119&gt;=Legend!$C$16,"ORANGE","RED"))))</f>
        <v/>
      </c>
      <c r="X119" s="19" t="str">
        <f>IF(AND(I119&lt;&gt;"",I119&lt;Legend!$C$14),"Accuracy, ","")&amp;IF(AND(L119&lt;&gt;"",L119&lt;Legend!$C$14),"Completeness, ","")&amp;IF(AND(O119&lt;&gt;"",O119&lt;Legend!$C$14),"Consistency, ","")&amp;IF(AND(R119&lt;&gt;"",R119&lt;Legend!$C$14),"Timeliness, ","")&amp;IF(AND(U119&lt;&gt;"",U119&lt;Legend!$C$14),"Validity, ","")</f>
        <v/>
      </c>
      <c r="Y119" s="20" t="str">
        <f t="shared" si="14"/>
        <v/>
      </c>
    </row>
    <row r="120" spans="1:25" ht="15.75" customHeight="1" x14ac:dyDescent="0.25">
      <c r="A120" s="11" t="str">
        <f t="shared" si="15"/>
        <v/>
      </c>
      <c r="B120" s="21"/>
      <c r="C120" s="21"/>
      <c r="D120" s="22"/>
      <c r="E120" s="22"/>
      <c r="F120" s="23"/>
      <c r="G120" s="22"/>
      <c r="H120" s="22"/>
      <c r="I120" s="16" t="str">
        <f t="shared" si="8"/>
        <v/>
      </c>
      <c r="J120" s="22"/>
      <c r="K120" s="22"/>
      <c r="L120" s="16" t="str">
        <f t="shared" si="9"/>
        <v/>
      </c>
      <c r="M120" s="22"/>
      <c r="N120" s="22"/>
      <c r="O120" s="16" t="str">
        <f t="shared" si="10"/>
        <v/>
      </c>
      <c r="P120" s="22"/>
      <c r="Q120" s="22"/>
      <c r="R120" s="16" t="str">
        <f t="shared" si="11"/>
        <v/>
      </c>
      <c r="S120" s="22"/>
      <c r="T120" s="22"/>
      <c r="U120" s="16" t="str">
        <f t="shared" si="12"/>
        <v/>
      </c>
      <c r="V120" s="17" t="str">
        <f t="shared" si="13"/>
        <v/>
      </c>
      <c r="W120" s="18" t="str">
        <f>IF(V120="","",IF(V120&gt;=Legend!$C$14,"GREEN",IF(V120&gt;=Legend!$C$15,"YELLOW",IF(V120&gt;=Legend!$C$16,"ORANGE","RED"))))</f>
        <v/>
      </c>
      <c r="X120" s="19" t="str">
        <f>IF(AND(I120&lt;&gt;"",I120&lt;Legend!$C$14),"Accuracy, ","")&amp;IF(AND(L120&lt;&gt;"",L120&lt;Legend!$C$14),"Completeness, ","")&amp;IF(AND(O120&lt;&gt;"",O120&lt;Legend!$C$14),"Consistency, ","")&amp;IF(AND(R120&lt;&gt;"",R120&lt;Legend!$C$14),"Timeliness, ","")&amp;IF(AND(U120&lt;&gt;"",U120&lt;Legend!$C$14),"Validity, ","")</f>
        <v/>
      </c>
      <c r="Y120" s="20" t="str">
        <f t="shared" si="14"/>
        <v/>
      </c>
    </row>
    <row r="121" spans="1:25" ht="15.75" customHeight="1" x14ac:dyDescent="0.25">
      <c r="A121" s="11" t="str">
        <f t="shared" si="15"/>
        <v/>
      </c>
      <c r="B121" s="21"/>
      <c r="C121" s="21"/>
      <c r="D121" s="22"/>
      <c r="E121" s="22"/>
      <c r="F121" s="23"/>
      <c r="G121" s="22"/>
      <c r="H121" s="22"/>
      <c r="I121" s="16" t="str">
        <f t="shared" si="8"/>
        <v/>
      </c>
      <c r="J121" s="22"/>
      <c r="K121" s="22"/>
      <c r="L121" s="16" t="str">
        <f t="shared" si="9"/>
        <v/>
      </c>
      <c r="M121" s="22"/>
      <c r="N121" s="22"/>
      <c r="O121" s="16" t="str">
        <f t="shared" si="10"/>
        <v/>
      </c>
      <c r="P121" s="22"/>
      <c r="Q121" s="22"/>
      <c r="R121" s="16" t="str">
        <f t="shared" si="11"/>
        <v/>
      </c>
      <c r="S121" s="22"/>
      <c r="T121" s="22"/>
      <c r="U121" s="16" t="str">
        <f t="shared" si="12"/>
        <v/>
      </c>
      <c r="V121" s="17" t="str">
        <f t="shared" si="13"/>
        <v/>
      </c>
      <c r="W121" s="18" t="str">
        <f>IF(V121="","",IF(V121&gt;=Legend!$C$14,"GREEN",IF(V121&gt;=Legend!$C$15,"YELLOW",IF(V121&gt;=Legend!$C$16,"ORANGE","RED"))))</f>
        <v/>
      </c>
      <c r="X121" s="19" t="str">
        <f>IF(AND(I121&lt;&gt;"",I121&lt;Legend!$C$14),"Accuracy, ","")&amp;IF(AND(L121&lt;&gt;"",L121&lt;Legend!$C$14),"Completeness, ","")&amp;IF(AND(O121&lt;&gt;"",O121&lt;Legend!$C$14),"Consistency, ","")&amp;IF(AND(R121&lt;&gt;"",R121&lt;Legend!$C$14),"Timeliness, ","")&amp;IF(AND(U121&lt;&gt;"",U121&lt;Legend!$C$14),"Validity, ","")</f>
        <v/>
      </c>
      <c r="Y121" s="20" t="str">
        <f t="shared" si="14"/>
        <v/>
      </c>
    </row>
    <row r="122" spans="1:25" ht="15.75" customHeight="1" x14ac:dyDescent="0.25">
      <c r="A122" s="11" t="str">
        <f t="shared" si="15"/>
        <v/>
      </c>
      <c r="B122" s="21"/>
      <c r="C122" s="21"/>
      <c r="D122" s="22"/>
      <c r="E122" s="22"/>
      <c r="F122" s="23"/>
      <c r="G122" s="22"/>
      <c r="H122" s="22"/>
      <c r="I122" s="16" t="str">
        <f t="shared" si="8"/>
        <v/>
      </c>
      <c r="J122" s="22"/>
      <c r="K122" s="22"/>
      <c r="L122" s="16" t="str">
        <f t="shared" si="9"/>
        <v/>
      </c>
      <c r="M122" s="22"/>
      <c r="N122" s="22"/>
      <c r="O122" s="16" t="str">
        <f t="shared" si="10"/>
        <v/>
      </c>
      <c r="P122" s="22"/>
      <c r="Q122" s="22"/>
      <c r="R122" s="16" t="str">
        <f t="shared" si="11"/>
        <v/>
      </c>
      <c r="S122" s="22"/>
      <c r="T122" s="22"/>
      <c r="U122" s="16" t="str">
        <f t="shared" si="12"/>
        <v/>
      </c>
      <c r="V122" s="17" t="str">
        <f t="shared" si="13"/>
        <v/>
      </c>
      <c r="W122" s="18" t="str">
        <f>IF(V122="","",IF(V122&gt;=Legend!$C$14,"GREEN",IF(V122&gt;=Legend!$C$15,"YELLOW",IF(V122&gt;=Legend!$C$16,"ORANGE","RED"))))</f>
        <v/>
      </c>
      <c r="X122" s="19" t="str">
        <f>IF(AND(I122&lt;&gt;"",I122&lt;Legend!$C$14),"Accuracy, ","")&amp;IF(AND(L122&lt;&gt;"",L122&lt;Legend!$C$14),"Completeness, ","")&amp;IF(AND(O122&lt;&gt;"",O122&lt;Legend!$C$14),"Consistency, ","")&amp;IF(AND(R122&lt;&gt;"",R122&lt;Legend!$C$14),"Timeliness, ","")&amp;IF(AND(U122&lt;&gt;"",U122&lt;Legend!$C$14),"Validity, ","")</f>
        <v/>
      </c>
      <c r="Y122" s="20" t="str">
        <f t="shared" si="14"/>
        <v/>
      </c>
    </row>
    <row r="123" spans="1:25" ht="15.75" customHeight="1" x14ac:dyDescent="0.25">
      <c r="A123" s="11" t="str">
        <f t="shared" si="15"/>
        <v/>
      </c>
      <c r="B123" s="21"/>
      <c r="C123" s="21"/>
      <c r="D123" s="22"/>
      <c r="E123" s="22"/>
      <c r="F123" s="23"/>
      <c r="G123" s="22"/>
      <c r="H123" s="22"/>
      <c r="I123" s="16" t="str">
        <f t="shared" si="8"/>
        <v/>
      </c>
      <c r="J123" s="22"/>
      <c r="K123" s="22"/>
      <c r="L123" s="16" t="str">
        <f t="shared" si="9"/>
        <v/>
      </c>
      <c r="M123" s="22"/>
      <c r="N123" s="22"/>
      <c r="O123" s="16" t="str">
        <f t="shared" si="10"/>
        <v/>
      </c>
      <c r="P123" s="22"/>
      <c r="Q123" s="22"/>
      <c r="R123" s="16" t="str">
        <f t="shared" si="11"/>
        <v/>
      </c>
      <c r="S123" s="22"/>
      <c r="T123" s="22"/>
      <c r="U123" s="16" t="str">
        <f t="shared" si="12"/>
        <v/>
      </c>
      <c r="V123" s="17" t="str">
        <f t="shared" si="13"/>
        <v/>
      </c>
      <c r="W123" s="18" t="str">
        <f>IF(V123="","",IF(V123&gt;=Legend!$C$14,"GREEN",IF(V123&gt;=Legend!$C$15,"YELLOW",IF(V123&gt;=Legend!$C$16,"ORANGE","RED"))))</f>
        <v/>
      </c>
      <c r="X123" s="19" t="str">
        <f>IF(AND(I123&lt;&gt;"",I123&lt;Legend!$C$14),"Accuracy, ","")&amp;IF(AND(L123&lt;&gt;"",L123&lt;Legend!$C$14),"Completeness, ","")&amp;IF(AND(O123&lt;&gt;"",O123&lt;Legend!$C$14),"Consistency, ","")&amp;IF(AND(R123&lt;&gt;"",R123&lt;Legend!$C$14),"Timeliness, ","")&amp;IF(AND(U123&lt;&gt;"",U123&lt;Legend!$C$14),"Validity, ","")</f>
        <v/>
      </c>
      <c r="Y123" s="20" t="str">
        <f t="shared" si="14"/>
        <v/>
      </c>
    </row>
    <row r="124" spans="1:25" ht="15.75" customHeight="1" x14ac:dyDescent="0.25">
      <c r="A124" s="11" t="str">
        <f t="shared" si="15"/>
        <v/>
      </c>
      <c r="B124" s="21"/>
      <c r="C124" s="21"/>
      <c r="D124" s="22"/>
      <c r="E124" s="22"/>
      <c r="F124" s="23"/>
      <c r="G124" s="22"/>
      <c r="H124" s="22"/>
      <c r="I124" s="16" t="str">
        <f t="shared" si="8"/>
        <v/>
      </c>
      <c r="J124" s="22"/>
      <c r="K124" s="22"/>
      <c r="L124" s="16" t="str">
        <f t="shared" si="9"/>
        <v/>
      </c>
      <c r="M124" s="22"/>
      <c r="N124" s="22"/>
      <c r="O124" s="16" t="str">
        <f t="shared" si="10"/>
        <v/>
      </c>
      <c r="P124" s="22"/>
      <c r="Q124" s="22"/>
      <c r="R124" s="16" t="str">
        <f t="shared" si="11"/>
        <v/>
      </c>
      <c r="S124" s="22"/>
      <c r="T124" s="22"/>
      <c r="U124" s="16" t="str">
        <f t="shared" si="12"/>
        <v/>
      </c>
      <c r="V124" s="17" t="str">
        <f t="shared" si="13"/>
        <v/>
      </c>
      <c r="W124" s="18" t="str">
        <f>IF(V124="","",IF(V124&gt;=Legend!$C$14,"GREEN",IF(V124&gt;=Legend!$C$15,"YELLOW",IF(V124&gt;=Legend!$C$16,"ORANGE","RED"))))</f>
        <v/>
      </c>
      <c r="X124" s="19" t="str">
        <f>IF(AND(I124&lt;&gt;"",I124&lt;Legend!$C$14),"Accuracy, ","")&amp;IF(AND(L124&lt;&gt;"",L124&lt;Legend!$C$14),"Completeness, ","")&amp;IF(AND(O124&lt;&gt;"",O124&lt;Legend!$C$14),"Consistency, ","")&amp;IF(AND(R124&lt;&gt;"",R124&lt;Legend!$C$14),"Timeliness, ","")&amp;IF(AND(U124&lt;&gt;"",U124&lt;Legend!$C$14),"Validity, ","")</f>
        <v/>
      </c>
      <c r="Y124" s="20" t="str">
        <f t="shared" si="14"/>
        <v/>
      </c>
    </row>
    <row r="125" spans="1:25" ht="15.75" customHeight="1" x14ac:dyDescent="0.25">
      <c r="A125" s="11" t="str">
        <f t="shared" si="15"/>
        <v/>
      </c>
      <c r="B125" s="21"/>
      <c r="C125" s="21"/>
      <c r="D125" s="22"/>
      <c r="E125" s="22"/>
      <c r="F125" s="23"/>
      <c r="G125" s="22"/>
      <c r="H125" s="22"/>
      <c r="I125" s="16" t="str">
        <f t="shared" si="8"/>
        <v/>
      </c>
      <c r="J125" s="22"/>
      <c r="K125" s="22"/>
      <c r="L125" s="16" t="str">
        <f t="shared" si="9"/>
        <v/>
      </c>
      <c r="M125" s="22"/>
      <c r="N125" s="22"/>
      <c r="O125" s="16" t="str">
        <f t="shared" si="10"/>
        <v/>
      </c>
      <c r="P125" s="22"/>
      <c r="Q125" s="22"/>
      <c r="R125" s="16" t="str">
        <f t="shared" si="11"/>
        <v/>
      </c>
      <c r="S125" s="22"/>
      <c r="T125" s="22"/>
      <c r="U125" s="16" t="str">
        <f t="shared" si="12"/>
        <v/>
      </c>
      <c r="V125" s="17" t="str">
        <f t="shared" si="13"/>
        <v/>
      </c>
      <c r="W125" s="18" t="str">
        <f>IF(V125="","",IF(V125&gt;=Legend!$C$14,"GREEN",IF(V125&gt;=Legend!$C$15,"YELLOW",IF(V125&gt;=Legend!$C$16,"ORANGE","RED"))))</f>
        <v/>
      </c>
      <c r="X125" s="19" t="str">
        <f>IF(AND(I125&lt;&gt;"",I125&lt;Legend!$C$14),"Accuracy, ","")&amp;IF(AND(L125&lt;&gt;"",L125&lt;Legend!$C$14),"Completeness, ","")&amp;IF(AND(O125&lt;&gt;"",O125&lt;Legend!$C$14),"Consistency, ","")&amp;IF(AND(R125&lt;&gt;"",R125&lt;Legend!$C$14),"Timeliness, ","")&amp;IF(AND(U125&lt;&gt;"",U125&lt;Legend!$C$14),"Validity, ","")</f>
        <v/>
      </c>
      <c r="Y125" s="20" t="str">
        <f t="shared" si="14"/>
        <v/>
      </c>
    </row>
    <row r="126" spans="1:25" ht="15.75" customHeight="1" x14ac:dyDescent="0.25">
      <c r="A126" s="11" t="str">
        <f t="shared" si="15"/>
        <v/>
      </c>
      <c r="B126" s="21"/>
      <c r="C126" s="21"/>
      <c r="D126" s="22"/>
      <c r="E126" s="22"/>
      <c r="F126" s="23"/>
      <c r="G126" s="22"/>
      <c r="H126" s="22"/>
      <c r="I126" s="16" t="str">
        <f t="shared" si="8"/>
        <v/>
      </c>
      <c r="J126" s="22"/>
      <c r="K126" s="22"/>
      <c r="L126" s="16" t="str">
        <f t="shared" si="9"/>
        <v/>
      </c>
      <c r="M126" s="22"/>
      <c r="N126" s="22"/>
      <c r="O126" s="16" t="str">
        <f t="shared" si="10"/>
        <v/>
      </c>
      <c r="P126" s="22"/>
      <c r="Q126" s="22"/>
      <c r="R126" s="16" t="str">
        <f t="shared" si="11"/>
        <v/>
      </c>
      <c r="S126" s="22"/>
      <c r="T126" s="22"/>
      <c r="U126" s="16" t="str">
        <f t="shared" si="12"/>
        <v/>
      </c>
      <c r="V126" s="17" t="str">
        <f t="shared" si="13"/>
        <v/>
      </c>
      <c r="W126" s="18" t="str">
        <f>IF(V126="","",IF(V126&gt;=Legend!$C$14,"GREEN",IF(V126&gt;=Legend!$C$15,"YELLOW",IF(V126&gt;=Legend!$C$16,"ORANGE","RED"))))</f>
        <v/>
      </c>
      <c r="X126" s="19" t="str">
        <f>IF(AND(I126&lt;&gt;"",I126&lt;Legend!$C$14),"Accuracy, ","")&amp;IF(AND(L126&lt;&gt;"",L126&lt;Legend!$C$14),"Completeness, ","")&amp;IF(AND(O126&lt;&gt;"",O126&lt;Legend!$C$14),"Consistency, ","")&amp;IF(AND(R126&lt;&gt;"",R126&lt;Legend!$C$14),"Timeliness, ","")&amp;IF(AND(U126&lt;&gt;"",U126&lt;Legend!$C$14),"Validity, ","")</f>
        <v/>
      </c>
      <c r="Y126" s="20" t="str">
        <f t="shared" si="14"/>
        <v/>
      </c>
    </row>
    <row r="127" spans="1:25" ht="15.75" customHeight="1" x14ac:dyDescent="0.25">
      <c r="A127" s="11" t="str">
        <f t="shared" si="15"/>
        <v/>
      </c>
      <c r="B127" s="21"/>
      <c r="C127" s="21"/>
      <c r="D127" s="22"/>
      <c r="E127" s="22"/>
      <c r="F127" s="23"/>
      <c r="G127" s="22"/>
      <c r="H127" s="22"/>
      <c r="I127" s="16" t="str">
        <f t="shared" si="8"/>
        <v/>
      </c>
      <c r="J127" s="22"/>
      <c r="K127" s="22"/>
      <c r="L127" s="16" t="str">
        <f t="shared" si="9"/>
        <v/>
      </c>
      <c r="M127" s="22"/>
      <c r="N127" s="22"/>
      <c r="O127" s="16" t="str">
        <f t="shared" si="10"/>
        <v/>
      </c>
      <c r="P127" s="22"/>
      <c r="Q127" s="22"/>
      <c r="R127" s="16" t="str">
        <f t="shared" si="11"/>
        <v/>
      </c>
      <c r="S127" s="22"/>
      <c r="T127" s="22"/>
      <c r="U127" s="16" t="str">
        <f t="shared" si="12"/>
        <v/>
      </c>
      <c r="V127" s="17" t="str">
        <f t="shared" si="13"/>
        <v/>
      </c>
      <c r="W127" s="18" t="str">
        <f>IF(V127="","",IF(V127&gt;=Legend!$C$14,"GREEN",IF(V127&gt;=Legend!$C$15,"YELLOW",IF(V127&gt;=Legend!$C$16,"ORANGE","RED"))))</f>
        <v/>
      </c>
      <c r="X127" s="19" t="str">
        <f>IF(AND(I127&lt;&gt;"",I127&lt;Legend!$C$14),"Accuracy, ","")&amp;IF(AND(L127&lt;&gt;"",L127&lt;Legend!$C$14),"Completeness, ","")&amp;IF(AND(O127&lt;&gt;"",O127&lt;Legend!$C$14),"Consistency, ","")&amp;IF(AND(R127&lt;&gt;"",R127&lt;Legend!$C$14),"Timeliness, ","")&amp;IF(AND(U127&lt;&gt;"",U127&lt;Legend!$C$14),"Validity, ","")</f>
        <v/>
      </c>
      <c r="Y127" s="20" t="str">
        <f t="shared" si="14"/>
        <v/>
      </c>
    </row>
    <row r="128" spans="1:25" ht="15.75" customHeight="1" x14ac:dyDescent="0.25">
      <c r="A128" s="11" t="str">
        <f t="shared" si="15"/>
        <v/>
      </c>
      <c r="B128" s="21"/>
      <c r="C128" s="21"/>
      <c r="D128" s="22"/>
      <c r="E128" s="22"/>
      <c r="F128" s="23"/>
      <c r="G128" s="22"/>
      <c r="H128" s="22"/>
      <c r="I128" s="16" t="str">
        <f t="shared" si="8"/>
        <v/>
      </c>
      <c r="J128" s="22"/>
      <c r="K128" s="22"/>
      <c r="L128" s="16" t="str">
        <f t="shared" si="9"/>
        <v/>
      </c>
      <c r="M128" s="22"/>
      <c r="N128" s="22"/>
      <c r="O128" s="16" t="str">
        <f t="shared" si="10"/>
        <v/>
      </c>
      <c r="P128" s="22"/>
      <c r="Q128" s="22"/>
      <c r="R128" s="16" t="str">
        <f t="shared" si="11"/>
        <v/>
      </c>
      <c r="S128" s="22"/>
      <c r="T128" s="22"/>
      <c r="U128" s="16" t="str">
        <f t="shared" si="12"/>
        <v/>
      </c>
      <c r="V128" s="17" t="str">
        <f t="shared" si="13"/>
        <v/>
      </c>
      <c r="W128" s="18" t="str">
        <f>IF(V128="","",IF(V128&gt;=Legend!$C$14,"GREEN",IF(V128&gt;=Legend!$C$15,"YELLOW",IF(V128&gt;=Legend!$C$16,"ORANGE","RED"))))</f>
        <v/>
      </c>
      <c r="X128" s="19" t="str">
        <f>IF(AND(I128&lt;&gt;"",I128&lt;Legend!$C$14),"Accuracy, ","")&amp;IF(AND(L128&lt;&gt;"",L128&lt;Legend!$C$14),"Completeness, ","")&amp;IF(AND(O128&lt;&gt;"",O128&lt;Legend!$C$14),"Consistency, ","")&amp;IF(AND(R128&lt;&gt;"",R128&lt;Legend!$C$14),"Timeliness, ","")&amp;IF(AND(U128&lt;&gt;"",U128&lt;Legend!$C$14),"Validity, ","")</f>
        <v/>
      </c>
      <c r="Y128" s="20" t="str">
        <f t="shared" si="14"/>
        <v/>
      </c>
    </row>
    <row r="129" spans="1:25" ht="15.75" customHeight="1" x14ac:dyDescent="0.25">
      <c r="A129" s="11" t="str">
        <f t="shared" si="15"/>
        <v/>
      </c>
      <c r="B129" s="21"/>
      <c r="C129" s="21"/>
      <c r="D129" s="22"/>
      <c r="E129" s="22"/>
      <c r="F129" s="23"/>
      <c r="G129" s="22"/>
      <c r="H129" s="22"/>
      <c r="I129" s="16" t="str">
        <f t="shared" si="8"/>
        <v/>
      </c>
      <c r="J129" s="22"/>
      <c r="K129" s="22"/>
      <c r="L129" s="16" t="str">
        <f t="shared" si="9"/>
        <v/>
      </c>
      <c r="M129" s="22"/>
      <c r="N129" s="22"/>
      <c r="O129" s="16" t="str">
        <f t="shared" si="10"/>
        <v/>
      </c>
      <c r="P129" s="22"/>
      <c r="Q129" s="22"/>
      <c r="R129" s="16" t="str">
        <f t="shared" si="11"/>
        <v/>
      </c>
      <c r="S129" s="22"/>
      <c r="T129" s="22"/>
      <c r="U129" s="16" t="str">
        <f t="shared" si="12"/>
        <v/>
      </c>
      <c r="V129" s="17" t="str">
        <f t="shared" si="13"/>
        <v/>
      </c>
      <c r="W129" s="18" t="str">
        <f>IF(V129="","",IF(V129&gt;=Legend!$C$14,"GREEN",IF(V129&gt;=Legend!$C$15,"YELLOW",IF(V129&gt;=Legend!$C$16,"ORANGE","RED"))))</f>
        <v/>
      </c>
      <c r="X129" s="19" t="str">
        <f>IF(AND(I129&lt;&gt;"",I129&lt;Legend!$C$14),"Accuracy, ","")&amp;IF(AND(L129&lt;&gt;"",L129&lt;Legend!$C$14),"Completeness, ","")&amp;IF(AND(O129&lt;&gt;"",O129&lt;Legend!$C$14),"Consistency, ","")&amp;IF(AND(R129&lt;&gt;"",R129&lt;Legend!$C$14),"Timeliness, ","")&amp;IF(AND(U129&lt;&gt;"",U129&lt;Legend!$C$14),"Validity, ","")</f>
        <v/>
      </c>
      <c r="Y129" s="20" t="str">
        <f t="shared" si="14"/>
        <v/>
      </c>
    </row>
    <row r="130" spans="1:25" ht="15.75" customHeight="1" x14ac:dyDescent="0.25">
      <c r="A130" s="11" t="str">
        <f t="shared" si="15"/>
        <v/>
      </c>
      <c r="B130" s="21"/>
      <c r="C130" s="21"/>
      <c r="D130" s="22"/>
      <c r="E130" s="22"/>
      <c r="F130" s="23"/>
      <c r="G130" s="22"/>
      <c r="H130" s="22"/>
      <c r="I130" s="16" t="str">
        <f t="shared" si="8"/>
        <v/>
      </c>
      <c r="J130" s="22"/>
      <c r="K130" s="22"/>
      <c r="L130" s="16" t="str">
        <f t="shared" si="9"/>
        <v/>
      </c>
      <c r="M130" s="22"/>
      <c r="N130" s="22"/>
      <c r="O130" s="16" t="str">
        <f t="shared" si="10"/>
        <v/>
      </c>
      <c r="P130" s="22"/>
      <c r="Q130" s="22"/>
      <c r="R130" s="16" t="str">
        <f t="shared" si="11"/>
        <v/>
      </c>
      <c r="S130" s="22"/>
      <c r="T130" s="22"/>
      <c r="U130" s="16" t="str">
        <f t="shared" si="12"/>
        <v/>
      </c>
      <c r="V130" s="17" t="str">
        <f t="shared" si="13"/>
        <v/>
      </c>
      <c r="W130" s="18" t="str">
        <f>IF(V130="","",IF(V130&gt;=Legend!$C$14,"GREEN",IF(V130&gt;=Legend!$C$15,"YELLOW",IF(V130&gt;=Legend!$C$16,"ORANGE","RED"))))</f>
        <v/>
      </c>
      <c r="X130" s="19" t="str">
        <f>IF(AND(I130&lt;&gt;"",I130&lt;Legend!$C$14),"Accuracy, ","")&amp;IF(AND(L130&lt;&gt;"",L130&lt;Legend!$C$14),"Completeness, ","")&amp;IF(AND(O130&lt;&gt;"",O130&lt;Legend!$C$14),"Consistency, ","")&amp;IF(AND(R130&lt;&gt;"",R130&lt;Legend!$C$14),"Timeliness, ","")&amp;IF(AND(U130&lt;&gt;"",U130&lt;Legend!$C$14),"Validity, ","")</f>
        <v/>
      </c>
      <c r="Y130" s="20" t="str">
        <f t="shared" si="14"/>
        <v/>
      </c>
    </row>
    <row r="131" spans="1:25" ht="15.75" customHeight="1" x14ac:dyDescent="0.25">
      <c r="A131" s="11" t="str">
        <f t="shared" si="15"/>
        <v/>
      </c>
      <c r="B131" s="21"/>
      <c r="C131" s="21"/>
      <c r="D131" s="22"/>
      <c r="E131" s="22"/>
      <c r="F131" s="23"/>
      <c r="G131" s="22"/>
      <c r="H131" s="22"/>
      <c r="I131" s="16" t="str">
        <f t="shared" si="8"/>
        <v/>
      </c>
      <c r="J131" s="22"/>
      <c r="K131" s="22"/>
      <c r="L131" s="16" t="str">
        <f t="shared" si="9"/>
        <v/>
      </c>
      <c r="M131" s="22"/>
      <c r="N131" s="22"/>
      <c r="O131" s="16" t="str">
        <f t="shared" si="10"/>
        <v/>
      </c>
      <c r="P131" s="22"/>
      <c r="Q131" s="22"/>
      <c r="R131" s="16" t="str">
        <f t="shared" si="11"/>
        <v/>
      </c>
      <c r="S131" s="22"/>
      <c r="T131" s="22"/>
      <c r="U131" s="16" t="str">
        <f t="shared" si="12"/>
        <v/>
      </c>
      <c r="V131" s="17" t="str">
        <f t="shared" si="13"/>
        <v/>
      </c>
      <c r="W131" s="18" t="str">
        <f>IF(V131="","",IF(V131&gt;=Legend!$C$14,"GREEN",IF(V131&gt;=Legend!$C$15,"YELLOW",IF(V131&gt;=Legend!$C$16,"ORANGE","RED"))))</f>
        <v/>
      </c>
      <c r="X131" s="19" t="str">
        <f>IF(AND(I131&lt;&gt;"",I131&lt;Legend!$C$14),"Accuracy, ","")&amp;IF(AND(L131&lt;&gt;"",L131&lt;Legend!$C$14),"Completeness, ","")&amp;IF(AND(O131&lt;&gt;"",O131&lt;Legend!$C$14),"Consistency, ","")&amp;IF(AND(R131&lt;&gt;"",R131&lt;Legend!$C$14),"Timeliness, ","")&amp;IF(AND(U131&lt;&gt;"",U131&lt;Legend!$C$14),"Validity, ","")</f>
        <v/>
      </c>
      <c r="Y131" s="20" t="str">
        <f t="shared" si="14"/>
        <v/>
      </c>
    </row>
    <row r="132" spans="1:25" ht="15.75" customHeight="1" x14ac:dyDescent="0.25">
      <c r="A132" s="11" t="str">
        <f t="shared" si="15"/>
        <v/>
      </c>
      <c r="B132" s="21"/>
      <c r="C132" s="21"/>
      <c r="D132" s="22"/>
      <c r="E132" s="22"/>
      <c r="F132" s="23"/>
      <c r="G132" s="22"/>
      <c r="H132" s="22"/>
      <c r="I132" s="16" t="str">
        <f t="shared" si="8"/>
        <v/>
      </c>
      <c r="J132" s="22"/>
      <c r="K132" s="22"/>
      <c r="L132" s="16" t="str">
        <f t="shared" si="9"/>
        <v/>
      </c>
      <c r="M132" s="22"/>
      <c r="N132" s="22"/>
      <c r="O132" s="16" t="str">
        <f t="shared" si="10"/>
        <v/>
      </c>
      <c r="P132" s="22"/>
      <c r="Q132" s="22"/>
      <c r="R132" s="16" t="str">
        <f t="shared" si="11"/>
        <v/>
      </c>
      <c r="S132" s="22"/>
      <c r="T132" s="22"/>
      <c r="U132" s="16" t="str">
        <f t="shared" si="12"/>
        <v/>
      </c>
      <c r="V132" s="17" t="str">
        <f t="shared" si="13"/>
        <v/>
      </c>
      <c r="W132" s="18" t="str">
        <f>IF(V132="","",IF(V132&gt;=Legend!$C$14,"GREEN",IF(V132&gt;=Legend!$C$15,"YELLOW",IF(V132&gt;=Legend!$C$16,"ORANGE","RED"))))</f>
        <v/>
      </c>
      <c r="X132" s="19" t="str">
        <f>IF(AND(I132&lt;&gt;"",I132&lt;Legend!$C$14),"Accuracy, ","")&amp;IF(AND(L132&lt;&gt;"",L132&lt;Legend!$C$14),"Completeness, ","")&amp;IF(AND(O132&lt;&gt;"",O132&lt;Legend!$C$14),"Consistency, ","")&amp;IF(AND(R132&lt;&gt;"",R132&lt;Legend!$C$14),"Timeliness, ","")&amp;IF(AND(U132&lt;&gt;"",U132&lt;Legend!$C$14),"Validity, ","")</f>
        <v/>
      </c>
      <c r="Y132" s="20" t="str">
        <f t="shared" si="14"/>
        <v/>
      </c>
    </row>
    <row r="133" spans="1:25" ht="15.75" customHeight="1" x14ac:dyDescent="0.25">
      <c r="A133" s="11" t="str">
        <f t="shared" si="15"/>
        <v/>
      </c>
      <c r="B133" s="21"/>
      <c r="C133" s="21"/>
      <c r="D133" s="22"/>
      <c r="E133" s="22"/>
      <c r="F133" s="23"/>
      <c r="G133" s="22"/>
      <c r="H133" s="22"/>
      <c r="I133" s="16" t="str">
        <f t="shared" ref="I133:I196" si="16">IFERROR(H133/G133,"")</f>
        <v/>
      </c>
      <c r="J133" s="22"/>
      <c r="K133" s="22"/>
      <c r="L133" s="16" t="str">
        <f t="shared" ref="L133:L196" si="17">IFERROR(K133/J133,"")</f>
        <v/>
      </c>
      <c r="M133" s="22"/>
      <c r="N133" s="22"/>
      <c r="O133" s="16" t="str">
        <f t="shared" ref="O133:O196" si="18">IFERROR(N133/M133,"")</f>
        <v/>
      </c>
      <c r="P133" s="22"/>
      <c r="Q133" s="22"/>
      <c r="R133" s="16" t="str">
        <f t="shared" ref="R133:R196" si="19">IFERROR(Q133/P133,"")</f>
        <v/>
      </c>
      <c r="S133" s="22"/>
      <c r="T133" s="22"/>
      <c r="U133" s="16" t="str">
        <f t="shared" ref="U133:U196" si="20">IFERROR(T133/S133,"")</f>
        <v/>
      </c>
      <c r="V133" s="17" t="str">
        <f t="shared" ref="V133:V196" si="21">IFERROR(AVERAGE(I133,L133,O133,R133,U133),"")</f>
        <v/>
      </c>
      <c r="W133" s="18" t="str">
        <f>IF(V133="","",IF(V133&gt;=Legend!$C$14,"GREEN",IF(V133&gt;=Legend!$C$15,"YELLOW",IF(V133&gt;=Legend!$C$16,"ORANGE","RED"))))</f>
        <v/>
      </c>
      <c r="X133" s="19" t="str">
        <f>IF(AND(I133&lt;&gt;"",I133&lt;Legend!$C$14),"Accuracy, ","")&amp;IF(AND(L133&lt;&gt;"",L133&lt;Legend!$C$14),"Completeness, ","")&amp;IF(AND(O133&lt;&gt;"",O133&lt;Legend!$C$14),"Consistency, ","")&amp;IF(AND(R133&lt;&gt;"",R133&lt;Legend!$C$14),"Timeliness, ","")&amp;IF(AND(U133&lt;&gt;"",U133&lt;Legend!$C$14),"Validity, ","")</f>
        <v/>
      </c>
      <c r="Y133" s="20" t="str">
        <f t="shared" ref="Y133:Y196" si="22">IF(V133="","",IF(LEN(X133)=0,"All dimensions on target",LEFT(X133,LEN(X133)-2)))</f>
        <v/>
      </c>
    </row>
    <row r="134" spans="1:25" ht="15.75" customHeight="1" x14ac:dyDescent="0.25">
      <c r="A134" s="11" t="str">
        <f t="shared" ref="A134:A197" si="23">IF($B134="","",""&amp;"AUD-"&amp;TEXT(ROW()-4,"000"))</f>
        <v/>
      </c>
      <c r="B134" s="21"/>
      <c r="C134" s="21"/>
      <c r="D134" s="22"/>
      <c r="E134" s="22"/>
      <c r="F134" s="23"/>
      <c r="G134" s="22"/>
      <c r="H134" s="22"/>
      <c r="I134" s="16" t="str">
        <f t="shared" si="16"/>
        <v/>
      </c>
      <c r="J134" s="22"/>
      <c r="K134" s="22"/>
      <c r="L134" s="16" t="str">
        <f t="shared" si="17"/>
        <v/>
      </c>
      <c r="M134" s="22"/>
      <c r="N134" s="22"/>
      <c r="O134" s="16" t="str">
        <f t="shared" si="18"/>
        <v/>
      </c>
      <c r="P134" s="22"/>
      <c r="Q134" s="22"/>
      <c r="R134" s="16" t="str">
        <f t="shared" si="19"/>
        <v/>
      </c>
      <c r="S134" s="22"/>
      <c r="T134" s="22"/>
      <c r="U134" s="16" t="str">
        <f t="shared" si="20"/>
        <v/>
      </c>
      <c r="V134" s="17" t="str">
        <f t="shared" si="21"/>
        <v/>
      </c>
      <c r="W134" s="18" t="str">
        <f>IF(V134="","",IF(V134&gt;=Legend!$C$14,"GREEN",IF(V134&gt;=Legend!$C$15,"YELLOW",IF(V134&gt;=Legend!$C$16,"ORANGE","RED"))))</f>
        <v/>
      </c>
      <c r="X134" s="19" t="str">
        <f>IF(AND(I134&lt;&gt;"",I134&lt;Legend!$C$14),"Accuracy, ","")&amp;IF(AND(L134&lt;&gt;"",L134&lt;Legend!$C$14),"Completeness, ","")&amp;IF(AND(O134&lt;&gt;"",O134&lt;Legend!$C$14),"Consistency, ","")&amp;IF(AND(R134&lt;&gt;"",R134&lt;Legend!$C$14),"Timeliness, ","")&amp;IF(AND(U134&lt;&gt;"",U134&lt;Legend!$C$14),"Validity, ","")</f>
        <v/>
      </c>
      <c r="Y134" s="20" t="str">
        <f t="shared" si="22"/>
        <v/>
      </c>
    </row>
    <row r="135" spans="1:25" ht="15.75" customHeight="1" x14ac:dyDescent="0.25">
      <c r="A135" s="11" t="str">
        <f t="shared" si="23"/>
        <v/>
      </c>
      <c r="B135" s="21"/>
      <c r="C135" s="21"/>
      <c r="D135" s="22"/>
      <c r="E135" s="22"/>
      <c r="F135" s="23"/>
      <c r="G135" s="22"/>
      <c r="H135" s="22"/>
      <c r="I135" s="16" t="str">
        <f t="shared" si="16"/>
        <v/>
      </c>
      <c r="J135" s="22"/>
      <c r="K135" s="22"/>
      <c r="L135" s="16" t="str">
        <f t="shared" si="17"/>
        <v/>
      </c>
      <c r="M135" s="22"/>
      <c r="N135" s="22"/>
      <c r="O135" s="16" t="str">
        <f t="shared" si="18"/>
        <v/>
      </c>
      <c r="P135" s="22"/>
      <c r="Q135" s="22"/>
      <c r="R135" s="16" t="str">
        <f t="shared" si="19"/>
        <v/>
      </c>
      <c r="S135" s="22"/>
      <c r="T135" s="22"/>
      <c r="U135" s="16" t="str">
        <f t="shared" si="20"/>
        <v/>
      </c>
      <c r="V135" s="17" t="str">
        <f t="shared" si="21"/>
        <v/>
      </c>
      <c r="W135" s="18" t="str">
        <f>IF(V135="","",IF(V135&gt;=Legend!$C$14,"GREEN",IF(V135&gt;=Legend!$C$15,"YELLOW",IF(V135&gt;=Legend!$C$16,"ORANGE","RED"))))</f>
        <v/>
      </c>
      <c r="X135" s="19" t="str">
        <f>IF(AND(I135&lt;&gt;"",I135&lt;Legend!$C$14),"Accuracy, ","")&amp;IF(AND(L135&lt;&gt;"",L135&lt;Legend!$C$14),"Completeness, ","")&amp;IF(AND(O135&lt;&gt;"",O135&lt;Legend!$C$14),"Consistency, ","")&amp;IF(AND(R135&lt;&gt;"",R135&lt;Legend!$C$14),"Timeliness, ","")&amp;IF(AND(U135&lt;&gt;"",U135&lt;Legend!$C$14),"Validity, ","")</f>
        <v/>
      </c>
      <c r="Y135" s="20" t="str">
        <f t="shared" si="22"/>
        <v/>
      </c>
    </row>
    <row r="136" spans="1:25" ht="15.75" customHeight="1" x14ac:dyDescent="0.25">
      <c r="A136" s="11" t="str">
        <f t="shared" si="23"/>
        <v/>
      </c>
      <c r="B136" s="21"/>
      <c r="C136" s="21"/>
      <c r="D136" s="22"/>
      <c r="E136" s="22"/>
      <c r="F136" s="23"/>
      <c r="G136" s="22"/>
      <c r="H136" s="22"/>
      <c r="I136" s="16" t="str">
        <f t="shared" si="16"/>
        <v/>
      </c>
      <c r="J136" s="22"/>
      <c r="K136" s="22"/>
      <c r="L136" s="16" t="str">
        <f t="shared" si="17"/>
        <v/>
      </c>
      <c r="M136" s="22"/>
      <c r="N136" s="22"/>
      <c r="O136" s="16" t="str">
        <f t="shared" si="18"/>
        <v/>
      </c>
      <c r="P136" s="22"/>
      <c r="Q136" s="22"/>
      <c r="R136" s="16" t="str">
        <f t="shared" si="19"/>
        <v/>
      </c>
      <c r="S136" s="22"/>
      <c r="T136" s="22"/>
      <c r="U136" s="16" t="str">
        <f t="shared" si="20"/>
        <v/>
      </c>
      <c r="V136" s="17" t="str">
        <f t="shared" si="21"/>
        <v/>
      </c>
      <c r="W136" s="18" t="str">
        <f>IF(V136="","",IF(V136&gt;=Legend!$C$14,"GREEN",IF(V136&gt;=Legend!$C$15,"YELLOW",IF(V136&gt;=Legend!$C$16,"ORANGE","RED"))))</f>
        <v/>
      </c>
      <c r="X136" s="19" t="str">
        <f>IF(AND(I136&lt;&gt;"",I136&lt;Legend!$C$14),"Accuracy, ","")&amp;IF(AND(L136&lt;&gt;"",L136&lt;Legend!$C$14),"Completeness, ","")&amp;IF(AND(O136&lt;&gt;"",O136&lt;Legend!$C$14),"Consistency, ","")&amp;IF(AND(R136&lt;&gt;"",R136&lt;Legend!$C$14),"Timeliness, ","")&amp;IF(AND(U136&lt;&gt;"",U136&lt;Legend!$C$14),"Validity, ","")</f>
        <v/>
      </c>
      <c r="Y136" s="20" t="str">
        <f t="shared" si="22"/>
        <v/>
      </c>
    </row>
    <row r="137" spans="1:25" ht="15.75" customHeight="1" x14ac:dyDescent="0.25">
      <c r="A137" s="11" t="str">
        <f t="shared" si="23"/>
        <v/>
      </c>
      <c r="B137" s="21"/>
      <c r="C137" s="21"/>
      <c r="D137" s="22"/>
      <c r="E137" s="22"/>
      <c r="F137" s="23"/>
      <c r="G137" s="22"/>
      <c r="H137" s="22"/>
      <c r="I137" s="16" t="str">
        <f t="shared" si="16"/>
        <v/>
      </c>
      <c r="J137" s="22"/>
      <c r="K137" s="22"/>
      <c r="L137" s="16" t="str">
        <f t="shared" si="17"/>
        <v/>
      </c>
      <c r="M137" s="22"/>
      <c r="N137" s="22"/>
      <c r="O137" s="16" t="str">
        <f t="shared" si="18"/>
        <v/>
      </c>
      <c r="P137" s="22"/>
      <c r="Q137" s="22"/>
      <c r="R137" s="16" t="str">
        <f t="shared" si="19"/>
        <v/>
      </c>
      <c r="S137" s="22"/>
      <c r="T137" s="22"/>
      <c r="U137" s="16" t="str">
        <f t="shared" si="20"/>
        <v/>
      </c>
      <c r="V137" s="17" t="str">
        <f t="shared" si="21"/>
        <v/>
      </c>
      <c r="W137" s="18" t="str">
        <f>IF(V137="","",IF(V137&gt;=Legend!$C$14,"GREEN",IF(V137&gt;=Legend!$C$15,"YELLOW",IF(V137&gt;=Legend!$C$16,"ORANGE","RED"))))</f>
        <v/>
      </c>
      <c r="X137" s="19" t="str">
        <f>IF(AND(I137&lt;&gt;"",I137&lt;Legend!$C$14),"Accuracy, ","")&amp;IF(AND(L137&lt;&gt;"",L137&lt;Legend!$C$14),"Completeness, ","")&amp;IF(AND(O137&lt;&gt;"",O137&lt;Legend!$C$14),"Consistency, ","")&amp;IF(AND(R137&lt;&gt;"",R137&lt;Legend!$C$14),"Timeliness, ","")&amp;IF(AND(U137&lt;&gt;"",U137&lt;Legend!$C$14),"Validity, ","")</f>
        <v/>
      </c>
      <c r="Y137" s="20" t="str">
        <f t="shared" si="22"/>
        <v/>
      </c>
    </row>
    <row r="138" spans="1:25" ht="15.75" customHeight="1" x14ac:dyDescent="0.25">
      <c r="A138" s="11" t="str">
        <f t="shared" si="23"/>
        <v/>
      </c>
      <c r="B138" s="21"/>
      <c r="C138" s="21"/>
      <c r="D138" s="22"/>
      <c r="E138" s="22"/>
      <c r="F138" s="23"/>
      <c r="G138" s="22"/>
      <c r="H138" s="22"/>
      <c r="I138" s="16" t="str">
        <f t="shared" si="16"/>
        <v/>
      </c>
      <c r="J138" s="22"/>
      <c r="K138" s="22"/>
      <c r="L138" s="16" t="str">
        <f t="shared" si="17"/>
        <v/>
      </c>
      <c r="M138" s="22"/>
      <c r="N138" s="22"/>
      <c r="O138" s="16" t="str">
        <f t="shared" si="18"/>
        <v/>
      </c>
      <c r="P138" s="22"/>
      <c r="Q138" s="22"/>
      <c r="R138" s="16" t="str">
        <f t="shared" si="19"/>
        <v/>
      </c>
      <c r="S138" s="22"/>
      <c r="T138" s="22"/>
      <c r="U138" s="16" t="str">
        <f t="shared" si="20"/>
        <v/>
      </c>
      <c r="V138" s="17" t="str">
        <f t="shared" si="21"/>
        <v/>
      </c>
      <c r="W138" s="18" t="str">
        <f>IF(V138="","",IF(V138&gt;=Legend!$C$14,"GREEN",IF(V138&gt;=Legend!$C$15,"YELLOW",IF(V138&gt;=Legend!$C$16,"ORANGE","RED"))))</f>
        <v/>
      </c>
      <c r="X138" s="19" t="str">
        <f>IF(AND(I138&lt;&gt;"",I138&lt;Legend!$C$14),"Accuracy, ","")&amp;IF(AND(L138&lt;&gt;"",L138&lt;Legend!$C$14),"Completeness, ","")&amp;IF(AND(O138&lt;&gt;"",O138&lt;Legend!$C$14),"Consistency, ","")&amp;IF(AND(R138&lt;&gt;"",R138&lt;Legend!$C$14),"Timeliness, ","")&amp;IF(AND(U138&lt;&gt;"",U138&lt;Legend!$C$14),"Validity, ","")</f>
        <v/>
      </c>
      <c r="Y138" s="20" t="str">
        <f t="shared" si="22"/>
        <v/>
      </c>
    </row>
    <row r="139" spans="1:25" ht="15.75" customHeight="1" x14ac:dyDescent="0.25">
      <c r="A139" s="11" t="str">
        <f t="shared" si="23"/>
        <v/>
      </c>
      <c r="B139" s="21"/>
      <c r="C139" s="21"/>
      <c r="D139" s="22"/>
      <c r="E139" s="22"/>
      <c r="F139" s="23"/>
      <c r="G139" s="22"/>
      <c r="H139" s="22"/>
      <c r="I139" s="16" t="str">
        <f t="shared" si="16"/>
        <v/>
      </c>
      <c r="J139" s="22"/>
      <c r="K139" s="22"/>
      <c r="L139" s="16" t="str">
        <f t="shared" si="17"/>
        <v/>
      </c>
      <c r="M139" s="22"/>
      <c r="N139" s="22"/>
      <c r="O139" s="16" t="str">
        <f t="shared" si="18"/>
        <v/>
      </c>
      <c r="P139" s="22"/>
      <c r="Q139" s="22"/>
      <c r="R139" s="16" t="str">
        <f t="shared" si="19"/>
        <v/>
      </c>
      <c r="S139" s="22"/>
      <c r="T139" s="22"/>
      <c r="U139" s="16" t="str">
        <f t="shared" si="20"/>
        <v/>
      </c>
      <c r="V139" s="17" t="str">
        <f t="shared" si="21"/>
        <v/>
      </c>
      <c r="W139" s="18" t="str">
        <f>IF(V139="","",IF(V139&gt;=Legend!$C$14,"GREEN",IF(V139&gt;=Legend!$C$15,"YELLOW",IF(V139&gt;=Legend!$C$16,"ORANGE","RED"))))</f>
        <v/>
      </c>
      <c r="X139" s="19" t="str">
        <f>IF(AND(I139&lt;&gt;"",I139&lt;Legend!$C$14),"Accuracy, ","")&amp;IF(AND(L139&lt;&gt;"",L139&lt;Legend!$C$14),"Completeness, ","")&amp;IF(AND(O139&lt;&gt;"",O139&lt;Legend!$C$14),"Consistency, ","")&amp;IF(AND(R139&lt;&gt;"",R139&lt;Legend!$C$14),"Timeliness, ","")&amp;IF(AND(U139&lt;&gt;"",U139&lt;Legend!$C$14),"Validity, ","")</f>
        <v/>
      </c>
      <c r="Y139" s="20" t="str">
        <f t="shared" si="22"/>
        <v/>
      </c>
    </row>
    <row r="140" spans="1:25" ht="15.75" customHeight="1" x14ac:dyDescent="0.25">
      <c r="A140" s="11" t="str">
        <f t="shared" si="23"/>
        <v/>
      </c>
      <c r="B140" s="21"/>
      <c r="C140" s="21"/>
      <c r="D140" s="22"/>
      <c r="E140" s="22"/>
      <c r="F140" s="23"/>
      <c r="G140" s="22"/>
      <c r="H140" s="22"/>
      <c r="I140" s="16" t="str">
        <f t="shared" si="16"/>
        <v/>
      </c>
      <c r="J140" s="22"/>
      <c r="K140" s="22"/>
      <c r="L140" s="16" t="str">
        <f t="shared" si="17"/>
        <v/>
      </c>
      <c r="M140" s="22"/>
      <c r="N140" s="22"/>
      <c r="O140" s="16" t="str">
        <f t="shared" si="18"/>
        <v/>
      </c>
      <c r="P140" s="22"/>
      <c r="Q140" s="22"/>
      <c r="R140" s="16" t="str">
        <f t="shared" si="19"/>
        <v/>
      </c>
      <c r="S140" s="22"/>
      <c r="T140" s="22"/>
      <c r="U140" s="16" t="str">
        <f t="shared" si="20"/>
        <v/>
      </c>
      <c r="V140" s="17" t="str">
        <f t="shared" si="21"/>
        <v/>
      </c>
      <c r="W140" s="18" t="str">
        <f>IF(V140="","",IF(V140&gt;=Legend!$C$14,"GREEN",IF(V140&gt;=Legend!$C$15,"YELLOW",IF(V140&gt;=Legend!$C$16,"ORANGE","RED"))))</f>
        <v/>
      </c>
      <c r="X140" s="19" t="str">
        <f>IF(AND(I140&lt;&gt;"",I140&lt;Legend!$C$14),"Accuracy, ","")&amp;IF(AND(L140&lt;&gt;"",L140&lt;Legend!$C$14),"Completeness, ","")&amp;IF(AND(O140&lt;&gt;"",O140&lt;Legend!$C$14),"Consistency, ","")&amp;IF(AND(R140&lt;&gt;"",R140&lt;Legend!$C$14),"Timeliness, ","")&amp;IF(AND(U140&lt;&gt;"",U140&lt;Legend!$C$14),"Validity, ","")</f>
        <v/>
      </c>
      <c r="Y140" s="20" t="str">
        <f t="shared" si="22"/>
        <v/>
      </c>
    </row>
    <row r="141" spans="1:25" ht="15.75" customHeight="1" x14ac:dyDescent="0.25">
      <c r="A141" s="11" t="str">
        <f t="shared" si="23"/>
        <v/>
      </c>
      <c r="B141" s="21"/>
      <c r="C141" s="21"/>
      <c r="D141" s="22"/>
      <c r="E141" s="22"/>
      <c r="F141" s="23"/>
      <c r="G141" s="22"/>
      <c r="H141" s="22"/>
      <c r="I141" s="16" t="str">
        <f t="shared" si="16"/>
        <v/>
      </c>
      <c r="J141" s="22"/>
      <c r="K141" s="22"/>
      <c r="L141" s="16" t="str">
        <f t="shared" si="17"/>
        <v/>
      </c>
      <c r="M141" s="22"/>
      <c r="N141" s="22"/>
      <c r="O141" s="16" t="str">
        <f t="shared" si="18"/>
        <v/>
      </c>
      <c r="P141" s="22"/>
      <c r="Q141" s="22"/>
      <c r="R141" s="16" t="str">
        <f t="shared" si="19"/>
        <v/>
      </c>
      <c r="S141" s="22"/>
      <c r="T141" s="22"/>
      <c r="U141" s="16" t="str">
        <f t="shared" si="20"/>
        <v/>
      </c>
      <c r="V141" s="17" t="str">
        <f t="shared" si="21"/>
        <v/>
      </c>
      <c r="W141" s="18" t="str">
        <f>IF(V141="","",IF(V141&gt;=Legend!$C$14,"GREEN",IF(V141&gt;=Legend!$C$15,"YELLOW",IF(V141&gt;=Legend!$C$16,"ORANGE","RED"))))</f>
        <v/>
      </c>
      <c r="X141" s="19" t="str">
        <f>IF(AND(I141&lt;&gt;"",I141&lt;Legend!$C$14),"Accuracy, ","")&amp;IF(AND(L141&lt;&gt;"",L141&lt;Legend!$C$14),"Completeness, ","")&amp;IF(AND(O141&lt;&gt;"",O141&lt;Legend!$C$14),"Consistency, ","")&amp;IF(AND(R141&lt;&gt;"",R141&lt;Legend!$C$14),"Timeliness, ","")&amp;IF(AND(U141&lt;&gt;"",U141&lt;Legend!$C$14),"Validity, ","")</f>
        <v/>
      </c>
      <c r="Y141" s="20" t="str">
        <f t="shared" si="22"/>
        <v/>
      </c>
    </row>
    <row r="142" spans="1:25" ht="15.75" customHeight="1" x14ac:dyDescent="0.25">
      <c r="A142" s="11" t="str">
        <f t="shared" si="23"/>
        <v/>
      </c>
      <c r="B142" s="21"/>
      <c r="C142" s="21"/>
      <c r="D142" s="22"/>
      <c r="E142" s="22"/>
      <c r="F142" s="23"/>
      <c r="G142" s="22"/>
      <c r="H142" s="22"/>
      <c r="I142" s="16" t="str">
        <f t="shared" si="16"/>
        <v/>
      </c>
      <c r="J142" s="22"/>
      <c r="K142" s="22"/>
      <c r="L142" s="16" t="str">
        <f t="shared" si="17"/>
        <v/>
      </c>
      <c r="M142" s="22"/>
      <c r="N142" s="22"/>
      <c r="O142" s="16" t="str">
        <f t="shared" si="18"/>
        <v/>
      </c>
      <c r="P142" s="22"/>
      <c r="Q142" s="22"/>
      <c r="R142" s="16" t="str">
        <f t="shared" si="19"/>
        <v/>
      </c>
      <c r="S142" s="22"/>
      <c r="T142" s="22"/>
      <c r="U142" s="16" t="str">
        <f t="shared" si="20"/>
        <v/>
      </c>
      <c r="V142" s="17" t="str">
        <f t="shared" si="21"/>
        <v/>
      </c>
      <c r="W142" s="18" t="str">
        <f>IF(V142="","",IF(V142&gt;=Legend!$C$14,"GREEN",IF(V142&gt;=Legend!$C$15,"YELLOW",IF(V142&gt;=Legend!$C$16,"ORANGE","RED"))))</f>
        <v/>
      </c>
      <c r="X142" s="19" t="str">
        <f>IF(AND(I142&lt;&gt;"",I142&lt;Legend!$C$14),"Accuracy, ","")&amp;IF(AND(L142&lt;&gt;"",L142&lt;Legend!$C$14),"Completeness, ","")&amp;IF(AND(O142&lt;&gt;"",O142&lt;Legend!$C$14),"Consistency, ","")&amp;IF(AND(R142&lt;&gt;"",R142&lt;Legend!$C$14),"Timeliness, ","")&amp;IF(AND(U142&lt;&gt;"",U142&lt;Legend!$C$14),"Validity, ","")</f>
        <v/>
      </c>
      <c r="Y142" s="20" t="str">
        <f t="shared" si="22"/>
        <v/>
      </c>
    </row>
    <row r="143" spans="1:25" ht="15.75" customHeight="1" x14ac:dyDescent="0.25">
      <c r="A143" s="11" t="str">
        <f t="shared" si="23"/>
        <v/>
      </c>
      <c r="B143" s="21"/>
      <c r="C143" s="21"/>
      <c r="D143" s="22"/>
      <c r="E143" s="22"/>
      <c r="F143" s="23"/>
      <c r="G143" s="22"/>
      <c r="H143" s="22"/>
      <c r="I143" s="16" t="str">
        <f t="shared" si="16"/>
        <v/>
      </c>
      <c r="J143" s="22"/>
      <c r="K143" s="22"/>
      <c r="L143" s="16" t="str">
        <f t="shared" si="17"/>
        <v/>
      </c>
      <c r="M143" s="22"/>
      <c r="N143" s="22"/>
      <c r="O143" s="16" t="str">
        <f t="shared" si="18"/>
        <v/>
      </c>
      <c r="P143" s="22"/>
      <c r="Q143" s="22"/>
      <c r="R143" s="16" t="str">
        <f t="shared" si="19"/>
        <v/>
      </c>
      <c r="S143" s="22"/>
      <c r="T143" s="22"/>
      <c r="U143" s="16" t="str">
        <f t="shared" si="20"/>
        <v/>
      </c>
      <c r="V143" s="17" t="str">
        <f t="shared" si="21"/>
        <v/>
      </c>
      <c r="W143" s="18" t="str">
        <f>IF(V143="","",IF(V143&gt;=Legend!$C$14,"GREEN",IF(V143&gt;=Legend!$C$15,"YELLOW",IF(V143&gt;=Legend!$C$16,"ORANGE","RED"))))</f>
        <v/>
      </c>
      <c r="X143" s="19" t="str">
        <f>IF(AND(I143&lt;&gt;"",I143&lt;Legend!$C$14),"Accuracy, ","")&amp;IF(AND(L143&lt;&gt;"",L143&lt;Legend!$C$14),"Completeness, ","")&amp;IF(AND(O143&lt;&gt;"",O143&lt;Legend!$C$14),"Consistency, ","")&amp;IF(AND(R143&lt;&gt;"",R143&lt;Legend!$C$14),"Timeliness, ","")&amp;IF(AND(U143&lt;&gt;"",U143&lt;Legend!$C$14),"Validity, ","")</f>
        <v/>
      </c>
      <c r="Y143" s="20" t="str">
        <f t="shared" si="22"/>
        <v/>
      </c>
    </row>
    <row r="144" spans="1:25" ht="15.75" customHeight="1" x14ac:dyDescent="0.25">
      <c r="A144" s="11" t="str">
        <f t="shared" si="23"/>
        <v/>
      </c>
      <c r="B144" s="21"/>
      <c r="C144" s="21"/>
      <c r="D144" s="22"/>
      <c r="E144" s="22"/>
      <c r="F144" s="23"/>
      <c r="G144" s="22"/>
      <c r="H144" s="22"/>
      <c r="I144" s="16" t="str">
        <f t="shared" si="16"/>
        <v/>
      </c>
      <c r="J144" s="22"/>
      <c r="K144" s="22"/>
      <c r="L144" s="16" t="str">
        <f t="shared" si="17"/>
        <v/>
      </c>
      <c r="M144" s="22"/>
      <c r="N144" s="22"/>
      <c r="O144" s="16" t="str">
        <f t="shared" si="18"/>
        <v/>
      </c>
      <c r="P144" s="22"/>
      <c r="Q144" s="22"/>
      <c r="R144" s="16" t="str">
        <f t="shared" si="19"/>
        <v/>
      </c>
      <c r="S144" s="22"/>
      <c r="T144" s="22"/>
      <c r="U144" s="16" t="str">
        <f t="shared" si="20"/>
        <v/>
      </c>
      <c r="V144" s="17" t="str">
        <f t="shared" si="21"/>
        <v/>
      </c>
      <c r="W144" s="18" t="str">
        <f>IF(V144="","",IF(V144&gt;=Legend!$C$14,"GREEN",IF(V144&gt;=Legend!$C$15,"YELLOW",IF(V144&gt;=Legend!$C$16,"ORANGE","RED"))))</f>
        <v/>
      </c>
      <c r="X144" s="19" t="str">
        <f>IF(AND(I144&lt;&gt;"",I144&lt;Legend!$C$14),"Accuracy, ","")&amp;IF(AND(L144&lt;&gt;"",L144&lt;Legend!$C$14),"Completeness, ","")&amp;IF(AND(O144&lt;&gt;"",O144&lt;Legend!$C$14),"Consistency, ","")&amp;IF(AND(R144&lt;&gt;"",R144&lt;Legend!$C$14),"Timeliness, ","")&amp;IF(AND(U144&lt;&gt;"",U144&lt;Legend!$C$14),"Validity, ","")</f>
        <v/>
      </c>
      <c r="Y144" s="20" t="str">
        <f t="shared" si="22"/>
        <v/>
      </c>
    </row>
    <row r="145" spans="1:25" ht="15.75" customHeight="1" x14ac:dyDescent="0.25">
      <c r="A145" s="11" t="str">
        <f t="shared" si="23"/>
        <v/>
      </c>
      <c r="B145" s="21"/>
      <c r="C145" s="21"/>
      <c r="D145" s="22"/>
      <c r="E145" s="22"/>
      <c r="F145" s="23"/>
      <c r="G145" s="22"/>
      <c r="H145" s="22"/>
      <c r="I145" s="16" t="str">
        <f t="shared" si="16"/>
        <v/>
      </c>
      <c r="J145" s="22"/>
      <c r="K145" s="22"/>
      <c r="L145" s="16" t="str">
        <f t="shared" si="17"/>
        <v/>
      </c>
      <c r="M145" s="22"/>
      <c r="N145" s="22"/>
      <c r="O145" s="16" t="str">
        <f t="shared" si="18"/>
        <v/>
      </c>
      <c r="P145" s="22"/>
      <c r="Q145" s="22"/>
      <c r="R145" s="16" t="str">
        <f t="shared" si="19"/>
        <v/>
      </c>
      <c r="S145" s="22"/>
      <c r="T145" s="22"/>
      <c r="U145" s="16" t="str">
        <f t="shared" si="20"/>
        <v/>
      </c>
      <c r="V145" s="17" t="str">
        <f t="shared" si="21"/>
        <v/>
      </c>
      <c r="W145" s="18" t="str">
        <f>IF(V145="","",IF(V145&gt;=Legend!$C$14,"GREEN",IF(V145&gt;=Legend!$C$15,"YELLOW",IF(V145&gt;=Legend!$C$16,"ORANGE","RED"))))</f>
        <v/>
      </c>
      <c r="X145" s="19" t="str">
        <f>IF(AND(I145&lt;&gt;"",I145&lt;Legend!$C$14),"Accuracy, ","")&amp;IF(AND(L145&lt;&gt;"",L145&lt;Legend!$C$14),"Completeness, ","")&amp;IF(AND(O145&lt;&gt;"",O145&lt;Legend!$C$14),"Consistency, ","")&amp;IF(AND(R145&lt;&gt;"",R145&lt;Legend!$C$14),"Timeliness, ","")&amp;IF(AND(U145&lt;&gt;"",U145&lt;Legend!$C$14),"Validity, ","")</f>
        <v/>
      </c>
      <c r="Y145" s="20" t="str">
        <f t="shared" si="22"/>
        <v/>
      </c>
    </row>
    <row r="146" spans="1:25" ht="15.75" customHeight="1" x14ac:dyDescent="0.25">
      <c r="A146" s="11" t="str">
        <f t="shared" si="23"/>
        <v/>
      </c>
      <c r="B146" s="21"/>
      <c r="C146" s="21"/>
      <c r="D146" s="22"/>
      <c r="E146" s="22"/>
      <c r="F146" s="23"/>
      <c r="G146" s="22"/>
      <c r="H146" s="22"/>
      <c r="I146" s="16" t="str">
        <f t="shared" si="16"/>
        <v/>
      </c>
      <c r="J146" s="22"/>
      <c r="K146" s="22"/>
      <c r="L146" s="16" t="str">
        <f t="shared" si="17"/>
        <v/>
      </c>
      <c r="M146" s="22"/>
      <c r="N146" s="22"/>
      <c r="O146" s="16" t="str">
        <f t="shared" si="18"/>
        <v/>
      </c>
      <c r="P146" s="22"/>
      <c r="Q146" s="22"/>
      <c r="R146" s="16" t="str">
        <f t="shared" si="19"/>
        <v/>
      </c>
      <c r="S146" s="22"/>
      <c r="T146" s="22"/>
      <c r="U146" s="16" t="str">
        <f t="shared" si="20"/>
        <v/>
      </c>
      <c r="V146" s="17" t="str">
        <f t="shared" si="21"/>
        <v/>
      </c>
      <c r="W146" s="18" t="str">
        <f>IF(V146="","",IF(V146&gt;=Legend!$C$14,"GREEN",IF(V146&gt;=Legend!$C$15,"YELLOW",IF(V146&gt;=Legend!$C$16,"ORANGE","RED"))))</f>
        <v/>
      </c>
      <c r="X146" s="19" t="str">
        <f>IF(AND(I146&lt;&gt;"",I146&lt;Legend!$C$14),"Accuracy, ","")&amp;IF(AND(L146&lt;&gt;"",L146&lt;Legend!$C$14),"Completeness, ","")&amp;IF(AND(O146&lt;&gt;"",O146&lt;Legend!$C$14),"Consistency, ","")&amp;IF(AND(R146&lt;&gt;"",R146&lt;Legend!$C$14),"Timeliness, ","")&amp;IF(AND(U146&lt;&gt;"",U146&lt;Legend!$C$14),"Validity, ","")</f>
        <v/>
      </c>
      <c r="Y146" s="20" t="str">
        <f t="shared" si="22"/>
        <v/>
      </c>
    </row>
    <row r="147" spans="1:25" ht="15.75" customHeight="1" x14ac:dyDescent="0.25">
      <c r="A147" s="11" t="str">
        <f t="shared" si="23"/>
        <v/>
      </c>
      <c r="B147" s="21"/>
      <c r="C147" s="21"/>
      <c r="D147" s="22"/>
      <c r="E147" s="22"/>
      <c r="F147" s="23"/>
      <c r="G147" s="22"/>
      <c r="H147" s="22"/>
      <c r="I147" s="16" t="str">
        <f t="shared" si="16"/>
        <v/>
      </c>
      <c r="J147" s="22"/>
      <c r="K147" s="22"/>
      <c r="L147" s="16" t="str">
        <f t="shared" si="17"/>
        <v/>
      </c>
      <c r="M147" s="22"/>
      <c r="N147" s="22"/>
      <c r="O147" s="16" t="str">
        <f t="shared" si="18"/>
        <v/>
      </c>
      <c r="P147" s="22"/>
      <c r="Q147" s="22"/>
      <c r="R147" s="16" t="str">
        <f t="shared" si="19"/>
        <v/>
      </c>
      <c r="S147" s="22"/>
      <c r="T147" s="22"/>
      <c r="U147" s="16" t="str">
        <f t="shared" si="20"/>
        <v/>
      </c>
      <c r="V147" s="17" t="str">
        <f t="shared" si="21"/>
        <v/>
      </c>
      <c r="W147" s="18" t="str">
        <f>IF(V147="","",IF(V147&gt;=Legend!$C$14,"GREEN",IF(V147&gt;=Legend!$C$15,"YELLOW",IF(V147&gt;=Legend!$C$16,"ORANGE","RED"))))</f>
        <v/>
      </c>
      <c r="X147" s="19" t="str">
        <f>IF(AND(I147&lt;&gt;"",I147&lt;Legend!$C$14),"Accuracy, ","")&amp;IF(AND(L147&lt;&gt;"",L147&lt;Legend!$C$14),"Completeness, ","")&amp;IF(AND(O147&lt;&gt;"",O147&lt;Legend!$C$14),"Consistency, ","")&amp;IF(AND(R147&lt;&gt;"",R147&lt;Legend!$C$14),"Timeliness, ","")&amp;IF(AND(U147&lt;&gt;"",U147&lt;Legend!$C$14),"Validity, ","")</f>
        <v/>
      </c>
      <c r="Y147" s="20" t="str">
        <f t="shared" si="22"/>
        <v/>
      </c>
    </row>
    <row r="148" spans="1:25" ht="15.75" customHeight="1" x14ac:dyDescent="0.25">
      <c r="A148" s="11" t="str">
        <f t="shared" si="23"/>
        <v/>
      </c>
      <c r="B148" s="21"/>
      <c r="C148" s="21"/>
      <c r="D148" s="22"/>
      <c r="E148" s="22"/>
      <c r="F148" s="23"/>
      <c r="G148" s="22"/>
      <c r="H148" s="22"/>
      <c r="I148" s="16" t="str">
        <f t="shared" si="16"/>
        <v/>
      </c>
      <c r="J148" s="22"/>
      <c r="K148" s="22"/>
      <c r="L148" s="16" t="str">
        <f t="shared" si="17"/>
        <v/>
      </c>
      <c r="M148" s="22"/>
      <c r="N148" s="22"/>
      <c r="O148" s="16" t="str">
        <f t="shared" si="18"/>
        <v/>
      </c>
      <c r="P148" s="22"/>
      <c r="Q148" s="22"/>
      <c r="R148" s="16" t="str">
        <f t="shared" si="19"/>
        <v/>
      </c>
      <c r="S148" s="22"/>
      <c r="T148" s="22"/>
      <c r="U148" s="16" t="str">
        <f t="shared" si="20"/>
        <v/>
      </c>
      <c r="V148" s="17" t="str">
        <f t="shared" si="21"/>
        <v/>
      </c>
      <c r="W148" s="18" t="str">
        <f>IF(V148="","",IF(V148&gt;=Legend!$C$14,"GREEN",IF(V148&gt;=Legend!$C$15,"YELLOW",IF(V148&gt;=Legend!$C$16,"ORANGE","RED"))))</f>
        <v/>
      </c>
      <c r="X148" s="19" t="str">
        <f>IF(AND(I148&lt;&gt;"",I148&lt;Legend!$C$14),"Accuracy, ","")&amp;IF(AND(L148&lt;&gt;"",L148&lt;Legend!$C$14),"Completeness, ","")&amp;IF(AND(O148&lt;&gt;"",O148&lt;Legend!$C$14),"Consistency, ","")&amp;IF(AND(R148&lt;&gt;"",R148&lt;Legend!$C$14),"Timeliness, ","")&amp;IF(AND(U148&lt;&gt;"",U148&lt;Legend!$C$14),"Validity, ","")</f>
        <v/>
      </c>
      <c r="Y148" s="20" t="str">
        <f t="shared" si="22"/>
        <v/>
      </c>
    </row>
    <row r="149" spans="1:25" ht="15.75" customHeight="1" x14ac:dyDescent="0.25">
      <c r="A149" s="11" t="str">
        <f t="shared" si="23"/>
        <v/>
      </c>
      <c r="B149" s="21"/>
      <c r="C149" s="21"/>
      <c r="D149" s="22"/>
      <c r="E149" s="22"/>
      <c r="F149" s="23"/>
      <c r="G149" s="22"/>
      <c r="H149" s="22"/>
      <c r="I149" s="16" t="str">
        <f t="shared" si="16"/>
        <v/>
      </c>
      <c r="J149" s="22"/>
      <c r="K149" s="22"/>
      <c r="L149" s="16" t="str">
        <f t="shared" si="17"/>
        <v/>
      </c>
      <c r="M149" s="22"/>
      <c r="N149" s="22"/>
      <c r="O149" s="16" t="str">
        <f t="shared" si="18"/>
        <v/>
      </c>
      <c r="P149" s="22"/>
      <c r="Q149" s="22"/>
      <c r="R149" s="16" t="str">
        <f t="shared" si="19"/>
        <v/>
      </c>
      <c r="S149" s="22"/>
      <c r="T149" s="22"/>
      <c r="U149" s="16" t="str">
        <f t="shared" si="20"/>
        <v/>
      </c>
      <c r="V149" s="17" t="str">
        <f t="shared" si="21"/>
        <v/>
      </c>
      <c r="W149" s="18" t="str">
        <f>IF(V149="","",IF(V149&gt;=Legend!$C$14,"GREEN",IF(V149&gt;=Legend!$C$15,"YELLOW",IF(V149&gt;=Legend!$C$16,"ORANGE","RED"))))</f>
        <v/>
      </c>
      <c r="X149" s="19" t="str">
        <f>IF(AND(I149&lt;&gt;"",I149&lt;Legend!$C$14),"Accuracy, ","")&amp;IF(AND(L149&lt;&gt;"",L149&lt;Legend!$C$14),"Completeness, ","")&amp;IF(AND(O149&lt;&gt;"",O149&lt;Legend!$C$14),"Consistency, ","")&amp;IF(AND(R149&lt;&gt;"",R149&lt;Legend!$C$14),"Timeliness, ","")&amp;IF(AND(U149&lt;&gt;"",U149&lt;Legend!$C$14),"Validity, ","")</f>
        <v/>
      </c>
      <c r="Y149" s="20" t="str">
        <f t="shared" si="22"/>
        <v/>
      </c>
    </row>
    <row r="150" spans="1:25" ht="15.75" customHeight="1" x14ac:dyDescent="0.25">
      <c r="A150" s="11" t="str">
        <f t="shared" si="23"/>
        <v/>
      </c>
      <c r="B150" s="21"/>
      <c r="C150" s="21"/>
      <c r="D150" s="22"/>
      <c r="E150" s="22"/>
      <c r="F150" s="23"/>
      <c r="G150" s="22"/>
      <c r="H150" s="22"/>
      <c r="I150" s="16" t="str">
        <f t="shared" si="16"/>
        <v/>
      </c>
      <c r="J150" s="22"/>
      <c r="K150" s="22"/>
      <c r="L150" s="16" t="str">
        <f t="shared" si="17"/>
        <v/>
      </c>
      <c r="M150" s="22"/>
      <c r="N150" s="22"/>
      <c r="O150" s="16" t="str">
        <f t="shared" si="18"/>
        <v/>
      </c>
      <c r="P150" s="22"/>
      <c r="Q150" s="22"/>
      <c r="R150" s="16" t="str">
        <f t="shared" si="19"/>
        <v/>
      </c>
      <c r="S150" s="22"/>
      <c r="T150" s="22"/>
      <c r="U150" s="16" t="str">
        <f t="shared" si="20"/>
        <v/>
      </c>
      <c r="V150" s="17" t="str">
        <f t="shared" si="21"/>
        <v/>
      </c>
      <c r="W150" s="18" t="str">
        <f>IF(V150="","",IF(V150&gt;=Legend!$C$14,"GREEN",IF(V150&gt;=Legend!$C$15,"YELLOW",IF(V150&gt;=Legend!$C$16,"ORANGE","RED"))))</f>
        <v/>
      </c>
      <c r="X150" s="19" t="str">
        <f>IF(AND(I150&lt;&gt;"",I150&lt;Legend!$C$14),"Accuracy, ","")&amp;IF(AND(L150&lt;&gt;"",L150&lt;Legend!$C$14),"Completeness, ","")&amp;IF(AND(O150&lt;&gt;"",O150&lt;Legend!$C$14),"Consistency, ","")&amp;IF(AND(R150&lt;&gt;"",R150&lt;Legend!$C$14),"Timeliness, ","")&amp;IF(AND(U150&lt;&gt;"",U150&lt;Legend!$C$14),"Validity, ","")</f>
        <v/>
      </c>
      <c r="Y150" s="20" t="str">
        <f t="shared" si="22"/>
        <v/>
      </c>
    </row>
    <row r="151" spans="1:25" ht="15.75" customHeight="1" x14ac:dyDescent="0.25">
      <c r="A151" s="11" t="str">
        <f t="shared" si="23"/>
        <v/>
      </c>
      <c r="B151" s="21"/>
      <c r="C151" s="21"/>
      <c r="D151" s="22"/>
      <c r="E151" s="22"/>
      <c r="F151" s="23"/>
      <c r="G151" s="22"/>
      <c r="H151" s="22"/>
      <c r="I151" s="16" t="str">
        <f t="shared" si="16"/>
        <v/>
      </c>
      <c r="J151" s="22"/>
      <c r="K151" s="22"/>
      <c r="L151" s="16" t="str">
        <f t="shared" si="17"/>
        <v/>
      </c>
      <c r="M151" s="22"/>
      <c r="N151" s="22"/>
      <c r="O151" s="16" t="str">
        <f t="shared" si="18"/>
        <v/>
      </c>
      <c r="P151" s="22"/>
      <c r="Q151" s="22"/>
      <c r="R151" s="16" t="str">
        <f t="shared" si="19"/>
        <v/>
      </c>
      <c r="S151" s="22"/>
      <c r="T151" s="22"/>
      <c r="U151" s="16" t="str">
        <f t="shared" si="20"/>
        <v/>
      </c>
      <c r="V151" s="17" t="str">
        <f t="shared" si="21"/>
        <v/>
      </c>
      <c r="W151" s="18" t="str">
        <f>IF(V151="","",IF(V151&gt;=Legend!$C$14,"GREEN",IF(V151&gt;=Legend!$C$15,"YELLOW",IF(V151&gt;=Legend!$C$16,"ORANGE","RED"))))</f>
        <v/>
      </c>
      <c r="X151" s="19" t="str">
        <f>IF(AND(I151&lt;&gt;"",I151&lt;Legend!$C$14),"Accuracy, ","")&amp;IF(AND(L151&lt;&gt;"",L151&lt;Legend!$C$14),"Completeness, ","")&amp;IF(AND(O151&lt;&gt;"",O151&lt;Legend!$C$14),"Consistency, ","")&amp;IF(AND(R151&lt;&gt;"",R151&lt;Legend!$C$14),"Timeliness, ","")&amp;IF(AND(U151&lt;&gt;"",U151&lt;Legend!$C$14),"Validity, ","")</f>
        <v/>
      </c>
      <c r="Y151" s="20" t="str">
        <f t="shared" si="22"/>
        <v/>
      </c>
    </row>
    <row r="152" spans="1:25" ht="15.75" customHeight="1" x14ac:dyDescent="0.25">
      <c r="A152" s="11" t="str">
        <f t="shared" si="23"/>
        <v/>
      </c>
      <c r="B152" s="21"/>
      <c r="C152" s="21"/>
      <c r="D152" s="22"/>
      <c r="E152" s="22"/>
      <c r="F152" s="23"/>
      <c r="G152" s="22"/>
      <c r="H152" s="22"/>
      <c r="I152" s="16" t="str">
        <f t="shared" si="16"/>
        <v/>
      </c>
      <c r="J152" s="22"/>
      <c r="K152" s="22"/>
      <c r="L152" s="16" t="str">
        <f t="shared" si="17"/>
        <v/>
      </c>
      <c r="M152" s="22"/>
      <c r="N152" s="22"/>
      <c r="O152" s="16" t="str">
        <f t="shared" si="18"/>
        <v/>
      </c>
      <c r="P152" s="22"/>
      <c r="Q152" s="22"/>
      <c r="R152" s="16" t="str">
        <f t="shared" si="19"/>
        <v/>
      </c>
      <c r="S152" s="22"/>
      <c r="T152" s="22"/>
      <c r="U152" s="16" t="str">
        <f t="shared" si="20"/>
        <v/>
      </c>
      <c r="V152" s="17" t="str">
        <f t="shared" si="21"/>
        <v/>
      </c>
      <c r="W152" s="18" t="str">
        <f>IF(V152="","",IF(V152&gt;=Legend!$C$14,"GREEN",IF(V152&gt;=Legend!$C$15,"YELLOW",IF(V152&gt;=Legend!$C$16,"ORANGE","RED"))))</f>
        <v/>
      </c>
      <c r="X152" s="19" t="str">
        <f>IF(AND(I152&lt;&gt;"",I152&lt;Legend!$C$14),"Accuracy, ","")&amp;IF(AND(L152&lt;&gt;"",L152&lt;Legend!$C$14),"Completeness, ","")&amp;IF(AND(O152&lt;&gt;"",O152&lt;Legend!$C$14),"Consistency, ","")&amp;IF(AND(R152&lt;&gt;"",R152&lt;Legend!$C$14),"Timeliness, ","")&amp;IF(AND(U152&lt;&gt;"",U152&lt;Legend!$C$14),"Validity, ","")</f>
        <v/>
      </c>
      <c r="Y152" s="20" t="str">
        <f t="shared" si="22"/>
        <v/>
      </c>
    </row>
    <row r="153" spans="1:25" ht="15.75" customHeight="1" x14ac:dyDescent="0.25">
      <c r="A153" s="11" t="str">
        <f t="shared" si="23"/>
        <v/>
      </c>
      <c r="B153" s="21"/>
      <c r="C153" s="21"/>
      <c r="D153" s="22"/>
      <c r="E153" s="22"/>
      <c r="F153" s="23"/>
      <c r="G153" s="22"/>
      <c r="H153" s="22"/>
      <c r="I153" s="16" t="str">
        <f t="shared" si="16"/>
        <v/>
      </c>
      <c r="J153" s="22"/>
      <c r="K153" s="22"/>
      <c r="L153" s="16" t="str">
        <f t="shared" si="17"/>
        <v/>
      </c>
      <c r="M153" s="22"/>
      <c r="N153" s="22"/>
      <c r="O153" s="16" t="str">
        <f t="shared" si="18"/>
        <v/>
      </c>
      <c r="P153" s="22"/>
      <c r="Q153" s="22"/>
      <c r="R153" s="16" t="str">
        <f t="shared" si="19"/>
        <v/>
      </c>
      <c r="S153" s="22"/>
      <c r="T153" s="22"/>
      <c r="U153" s="16" t="str">
        <f t="shared" si="20"/>
        <v/>
      </c>
      <c r="V153" s="17" t="str">
        <f t="shared" si="21"/>
        <v/>
      </c>
      <c r="W153" s="18" t="str">
        <f>IF(V153="","",IF(V153&gt;=Legend!$C$14,"GREEN",IF(V153&gt;=Legend!$C$15,"YELLOW",IF(V153&gt;=Legend!$C$16,"ORANGE","RED"))))</f>
        <v/>
      </c>
      <c r="X153" s="19" t="str">
        <f>IF(AND(I153&lt;&gt;"",I153&lt;Legend!$C$14),"Accuracy, ","")&amp;IF(AND(L153&lt;&gt;"",L153&lt;Legend!$C$14),"Completeness, ","")&amp;IF(AND(O153&lt;&gt;"",O153&lt;Legend!$C$14),"Consistency, ","")&amp;IF(AND(R153&lt;&gt;"",R153&lt;Legend!$C$14),"Timeliness, ","")&amp;IF(AND(U153&lt;&gt;"",U153&lt;Legend!$C$14),"Validity, ","")</f>
        <v/>
      </c>
      <c r="Y153" s="20" t="str">
        <f t="shared" si="22"/>
        <v/>
      </c>
    </row>
    <row r="154" spans="1:25" ht="15.75" customHeight="1" x14ac:dyDescent="0.25">
      <c r="A154" s="11" t="str">
        <f t="shared" si="23"/>
        <v/>
      </c>
      <c r="B154" s="21"/>
      <c r="C154" s="21"/>
      <c r="D154" s="22"/>
      <c r="E154" s="22"/>
      <c r="F154" s="23"/>
      <c r="G154" s="22"/>
      <c r="H154" s="22"/>
      <c r="I154" s="16" t="str">
        <f t="shared" si="16"/>
        <v/>
      </c>
      <c r="J154" s="22"/>
      <c r="K154" s="22"/>
      <c r="L154" s="16" t="str">
        <f t="shared" si="17"/>
        <v/>
      </c>
      <c r="M154" s="22"/>
      <c r="N154" s="22"/>
      <c r="O154" s="16" t="str">
        <f t="shared" si="18"/>
        <v/>
      </c>
      <c r="P154" s="22"/>
      <c r="Q154" s="22"/>
      <c r="R154" s="16" t="str">
        <f t="shared" si="19"/>
        <v/>
      </c>
      <c r="S154" s="22"/>
      <c r="T154" s="22"/>
      <c r="U154" s="16" t="str">
        <f t="shared" si="20"/>
        <v/>
      </c>
      <c r="V154" s="17" t="str">
        <f t="shared" si="21"/>
        <v/>
      </c>
      <c r="W154" s="18" t="str">
        <f>IF(V154="","",IF(V154&gt;=Legend!$C$14,"GREEN",IF(V154&gt;=Legend!$C$15,"YELLOW",IF(V154&gt;=Legend!$C$16,"ORANGE","RED"))))</f>
        <v/>
      </c>
      <c r="X154" s="19" t="str">
        <f>IF(AND(I154&lt;&gt;"",I154&lt;Legend!$C$14),"Accuracy, ","")&amp;IF(AND(L154&lt;&gt;"",L154&lt;Legend!$C$14),"Completeness, ","")&amp;IF(AND(O154&lt;&gt;"",O154&lt;Legend!$C$14),"Consistency, ","")&amp;IF(AND(R154&lt;&gt;"",R154&lt;Legend!$C$14),"Timeliness, ","")&amp;IF(AND(U154&lt;&gt;"",U154&lt;Legend!$C$14),"Validity, ","")</f>
        <v/>
      </c>
      <c r="Y154" s="20" t="str">
        <f t="shared" si="22"/>
        <v/>
      </c>
    </row>
    <row r="155" spans="1:25" ht="15.75" customHeight="1" x14ac:dyDescent="0.25">
      <c r="A155" s="11" t="str">
        <f t="shared" si="23"/>
        <v/>
      </c>
      <c r="B155" s="21"/>
      <c r="C155" s="21"/>
      <c r="D155" s="22"/>
      <c r="E155" s="22"/>
      <c r="F155" s="23"/>
      <c r="G155" s="22"/>
      <c r="H155" s="22"/>
      <c r="I155" s="16" t="str">
        <f t="shared" si="16"/>
        <v/>
      </c>
      <c r="J155" s="22"/>
      <c r="K155" s="22"/>
      <c r="L155" s="16" t="str">
        <f t="shared" si="17"/>
        <v/>
      </c>
      <c r="M155" s="22"/>
      <c r="N155" s="22"/>
      <c r="O155" s="16" t="str">
        <f t="shared" si="18"/>
        <v/>
      </c>
      <c r="P155" s="22"/>
      <c r="Q155" s="22"/>
      <c r="R155" s="16" t="str">
        <f t="shared" si="19"/>
        <v/>
      </c>
      <c r="S155" s="22"/>
      <c r="T155" s="22"/>
      <c r="U155" s="16" t="str">
        <f t="shared" si="20"/>
        <v/>
      </c>
      <c r="V155" s="17" t="str">
        <f t="shared" si="21"/>
        <v/>
      </c>
      <c r="W155" s="18" t="str">
        <f>IF(V155="","",IF(V155&gt;=Legend!$C$14,"GREEN",IF(V155&gt;=Legend!$C$15,"YELLOW",IF(V155&gt;=Legend!$C$16,"ORANGE","RED"))))</f>
        <v/>
      </c>
      <c r="X155" s="19" t="str">
        <f>IF(AND(I155&lt;&gt;"",I155&lt;Legend!$C$14),"Accuracy, ","")&amp;IF(AND(L155&lt;&gt;"",L155&lt;Legend!$C$14),"Completeness, ","")&amp;IF(AND(O155&lt;&gt;"",O155&lt;Legend!$C$14),"Consistency, ","")&amp;IF(AND(R155&lt;&gt;"",R155&lt;Legend!$C$14),"Timeliness, ","")&amp;IF(AND(U155&lt;&gt;"",U155&lt;Legend!$C$14),"Validity, ","")</f>
        <v/>
      </c>
      <c r="Y155" s="20" t="str">
        <f t="shared" si="22"/>
        <v/>
      </c>
    </row>
    <row r="156" spans="1:25" ht="15.75" customHeight="1" x14ac:dyDescent="0.25">
      <c r="A156" s="11" t="str">
        <f t="shared" si="23"/>
        <v/>
      </c>
      <c r="B156" s="21"/>
      <c r="C156" s="21"/>
      <c r="D156" s="22"/>
      <c r="E156" s="22"/>
      <c r="F156" s="23"/>
      <c r="G156" s="22"/>
      <c r="H156" s="22"/>
      <c r="I156" s="16" t="str">
        <f t="shared" si="16"/>
        <v/>
      </c>
      <c r="J156" s="22"/>
      <c r="K156" s="22"/>
      <c r="L156" s="16" t="str">
        <f t="shared" si="17"/>
        <v/>
      </c>
      <c r="M156" s="22"/>
      <c r="N156" s="22"/>
      <c r="O156" s="16" t="str">
        <f t="shared" si="18"/>
        <v/>
      </c>
      <c r="P156" s="22"/>
      <c r="Q156" s="22"/>
      <c r="R156" s="16" t="str">
        <f t="shared" si="19"/>
        <v/>
      </c>
      <c r="S156" s="22"/>
      <c r="T156" s="22"/>
      <c r="U156" s="16" t="str">
        <f t="shared" si="20"/>
        <v/>
      </c>
      <c r="V156" s="17" t="str">
        <f t="shared" si="21"/>
        <v/>
      </c>
      <c r="W156" s="18" t="str">
        <f>IF(V156="","",IF(V156&gt;=Legend!$C$14,"GREEN",IF(V156&gt;=Legend!$C$15,"YELLOW",IF(V156&gt;=Legend!$C$16,"ORANGE","RED"))))</f>
        <v/>
      </c>
      <c r="X156" s="19" t="str">
        <f>IF(AND(I156&lt;&gt;"",I156&lt;Legend!$C$14),"Accuracy, ","")&amp;IF(AND(L156&lt;&gt;"",L156&lt;Legend!$C$14),"Completeness, ","")&amp;IF(AND(O156&lt;&gt;"",O156&lt;Legend!$C$14),"Consistency, ","")&amp;IF(AND(R156&lt;&gt;"",R156&lt;Legend!$C$14),"Timeliness, ","")&amp;IF(AND(U156&lt;&gt;"",U156&lt;Legend!$C$14),"Validity, ","")</f>
        <v/>
      </c>
      <c r="Y156" s="20" t="str">
        <f t="shared" si="22"/>
        <v/>
      </c>
    </row>
    <row r="157" spans="1:25" ht="15.75" customHeight="1" x14ac:dyDescent="0.25">
      <c r="A157" s="11" t="str">
        <f t="shared" si="23"/>
        <v/>
      </c>
      <c r="B157" s="21"/>
      <c r="C157" s="21"/>
      <c r="D157" s="22"/>
      <c r="E157" s="22"/>
      <c r="F157" s="23"/>
      <c r="G157" s="22"/>
      <c r="H157" s="22"/>
      <c r="I157" s="16" t="str">
        <f t="shared" si="16"/>
        <v/>
      </c>
      <c r="J157" s="22"/>
      <c r="K157" s="22"/>
      <c r="L157" s="16" t="str">
        <f t="shared" si="17"/>
        <v/>
      </c>
      <c r="M157" s="22"/>
      <c r="N157" s="22"/>
      <c r="O157" s="16" t="str">
        <f t="shared" si="18"/>
        <v/>
      </c>
      <c r="P157" s="22"/>
      <c r="Q157" s="22"/>
      <c r="R157" s="16" t="str">
        <f t="shared" si="19"/>
        <v/>
      </c>
      <c r="S157" s="22"/>
      <c r="T157" s="22"/>
      <c r="U157" s="16" t="str">
        <f t="shared" si="20"/>
        <v/>
      </c>
      <c r="V157" s="17" t="str">
        <f t="shared" si="21"/>
        <v/>
      </c>
      <c r="W157" s="18" t="str">
        <f>IF(V157="","",IF(V157&gt;=Legend!$C$14,"GREEN",IF(V157&gt;=Legend!$C$15,"YELLOW",IF(V157&gt;=Legend!$C$16,"ORANGE","RED"))))</f>
        <v/>
      </c>
      <c r="X157" s="19" t="str">
        <f>IF(AND(I157&lt;&gt;"",I157&lt;Legend!$C$14),"Accuracy, ","")&amp;IF(AND(L157&lt;&gt;"",L157&lt;Legend!$C$14),"Completeness, ","")&amp;IF(AND(O157&lt;&gt;"",O157&lt;Legend!$C$14),"Consistency, ","")&amp;IF(AND(R157&lt;&gt;"",R157&lt;Legend!$C$14),"Timeliness, ","")&amp;IF(AND(U157&lt;&gt;"",U157&lt;Legend!$C$14),"Validity, ","")</f>
        <v/>
      </c>
      <c r="Y157" s="20" t="str">
        <f t="shared" si="22"/>
        <v/>
      </c>
    </row>
    <row r="158" spans="1:25" ht="15.75" customHeight="1" x14ac:dyDescent="0.25">
      <c r="A158" s="11" t="str">
        <f t="shared" si="23"/>
        <v/>
      </c>
      <c r="B158" s="21"/>
      <c r="C158" s="21"/>
      <c r="D158" s="22"/>
      <c r="E158" s="22"/>
      <c r="F158" s="23"/>
      <c r="G158" s="22"/>
      <c r="H158" s="22"/>
      <c r="I158" s="16" t="str">
        <f t="shared" si="16"/>
        <v/>
      </c>
      <c r="J158" s="22"/>
      <c r="K158" s="22"/>
      <c r="L158" s="16" t="str">
        <f t="shared" si="17"/>
        <v/>
      </c>
      <c r="M158" s="22"/>
      <c r="N158" s="22"/>
      <c r="O158" s="16" t="str">
        <f t="shared" si="18"/>
        <v/>
      </c>
      <c r="P158" s="22"/>
      <c r="Q158" s="22"/>
      <c r="R158" s="16" t="str">
        <f t="shared" si="19"/>
        <v/>
      </c>
      <c r="S158" s="22"/>
      <c r="T158" s="22"/>
      <c r="U158" s="16" t="str">
        <f t="shared" si="20"/>
        <v/>
      </c>
      <c r="V158" s="17" t="str">
        <f t="shared" si="21"/>
        <v/>
      </c>
      <c r="W158" s="18" t="str">
        <f>IF(V158="","",IF(V158&gt;=Legend!$C$14,"GREEN",IF(V158&gt;=Legend!$C$15,"YELLOW",IF(V158&gt;=Legend!$C$16,"ORANGE","RED"))))</f>
        <v/>
      </c>
      <c r="X158" s="19" t="str">
        <f>IF(AND(I158&lt;&gt;"",I158&lt;Legend!$C$14),"Accuracy, ","")&amp;IF(AND(L158&lt;&gt;"",L158&lt;Legend!$C$14),"Completeness, ","")&amp;IF(AND(O158&lt;&gt;"",O158&lt;Legend!$C$14),"Consistency, ","")&amp;IF(AND(R158&lt;&gt;"",R158&lt;Legend!$C$14),"Timeliness, ","")&amp;IF(AND(U158&lt;&gt;"",U158&lt;Legend!$C$14),"Validity, ","")</f>
        <v/>
      </c>
      <c r="Y158" s="20" t="str">
        <f t="shared" si="22"/>
        <v/>
      </c>
    </row>
    <row r="159" spans="1:25" ht="15.75" customHeight="1" x14ac:dyDescent="0.25">
      <c r="A159" s="11" t="str">
        <f t="shared" si="23"/>
        <v/>
      </c>
      <c r="B159" s="21"/>
      <c r="C159" s="21"/>
      <c r="D159" s="22"/>
      <c r="E159" s="22"/>
      <c r="F159" s="23"/>
      <c r="G159" s="22"/>
      <c r="H159" s="22"/>
      <c r="I159" s="16" t="str">
        <f t="shared" si="16"/>
        <v/>
      </c>
      <c r="J159" s="22"/>
      <c r="K159" s="22"/>
      <c r="L159" s="16" t="str">
        <f t="shared" si="17"/>
        <v/>
      </c>
      <c r="M159" s="22"/>
      <c r="N159" s="22"/>
      <c r="O159" s="16" t="str">
        <f t="shared" si="18"/>
        <v/>
      </c>
      <c r="P159" s="22"/>
      <c r="Q159" s="22"/>
      <c r="R159" s="16" t="str">
        <f t="shared" si="19"/>
        <v/>
      </c>
      <c r="S159" s="22"/>
      <c r="T159" s="22"/>
      <c r="U159" s="16" t="str">
        <f t="shared" si="20"/>
        <v/>
      </c>
      <c r="V159" s="17" t="str">
        <f t="shared" si="21"/>
        <v/>
      </c>
      <c r="W159" s="18" t="str">
        <f>IF(V159="","",IF(V159&gt;=Legend!$C$14,"GREEN",IF(V159&gt;=Legend!$C$15,"YELLOW",IF(V159&gt;=Legend!$C$16,"ORANGE","RED"))))</f>
        <v/>
      </c>
      <c r="X159" s="19" t="str">
        <f>IF(AND(I159&lt;&gt;"",I159&lt;Legend!$C$14),"Accuracy, ","")&amp;IF(AND(L159&lt;&gt;"",L159&lt;Legend!$C$14),"Completeness, ","")&amp;IF(AND(O159&lt;&gt;"",O159&lt;Legend!$C$14),"Consistency, ","")&amp;IF(AND(R159&lt;&gt;"",R159&lt;Legend!$C$14),"Timeliness, ","")&amp;IF(AND(U159&lt;&gt;"",U159&lt;Legend!$C$14),"Validity, ","")</f>
        <v/>
      </c>
      <c r="Y159" s="20" t="str">
        <f t="shared" si="22"/>
        <v/>
      </c>
    </row>
    <row r="160" spans="1:25" ht="15.75" customHeight="1" x14ac:dyDescent="0.25">
      <c r="A160" s="11" t="str">
        <f t="shared" si="23"/>
        <v/>
      </c>
      <c r="B160" s="21"/>
      <c r="C160" s="21"/>
      <c r="D160" s="22"/>
      <c r="E160" s="22"/>
      <c r="F160" s="23"/>
      <c r="G160" s="22"/>
      <c r="H160" s="22"/>
      <c r="I160" s="16" t="str">
        <f t="shared" si="16"/>
        <v/>
      </c>
      <c r="J160" s="22"/>
      <c r="K160" s="22"/>
      <c r="L160" s="16" t="str">
        <f t="shared" si="17"/>
        <v/>
      </c>
      <c r="M160" s="22"/>
      <c r="N160" s="22"/>
      <c r="O160" s="16" t="str">
        <f t="shared" si="18"/>
        <v/>
      </c>
      <c r="P160" s="22"/>
      <c r="Q160" s="22"/>
      <c r="R160" s="16" t="str">
        <f t="shared" si="19"/>
        <v/>
      </c>
      <c r="S160" s="22"/>
      <c r="T160" s="22"/>
      <c r="U160" s="16" t="str">
        <f t="shared" si="20"/>
        <v/>
      </c>
      <c r="V160" s="17" t="str">
        <f t="shared" si="21"/>
        <v/>
      </c>
      <c r="W160" s="18" t="str">
        <f>IF(V160="","",IF(V160&gt;=Legend!$C$14,"GREEN",IF(V160&gt;=Legend!$C$15,"YELLOW",IF(V160&gt;=Legend!$C$16,"ORANGE","RED"))))</f>
        <v/>
      </c>
      <c r="X160" s="19" t="str">
        <f>IF(AND(I160&lt;&gt;"",I160&lt;Legend!$C$14),"Accuracy, ","")&amp;IF(AND(L160&lt;&gt;"",L160&lt;Legend!$C$14),"Completeness, ","")&amp;IF(AND(O160&lt;&gt;"",O160&lt;Legend!$C$14),"Consistency, ","")&amp;IF(AND(R160&lt;&gt;"",R160&lt;Legend!$C$14),"Timeliness, ","")&amp;IF(AND(U160&lt;&gt;"",U160&lt;Legend!$C$14),"Validity, ","")</f>
        <v/>
      </c>
      <c r="Y160" s="20" t="str">
        <f t="shared" si="22"/>
        <v/>
      </c>
    </row>
    <row r="161" spans="1:25" ht="15.75" customHeight="1" x14ac:dyDescent="0.25">
      <c r="A161" s="11" t="str">
        <f t="shared" si="23"/>
        <v/>
      </c>
      <c r="B161" s="21"/>
      <c r="C161" s="21"/>
      <c r="D161" s="22"/>
      <c r="E161" s="22"/>
      <c r="F161" s="23"/>
      <c r="G161" s="22"/>
      <c r="H161" s="22"/>
      <c r="I161" s="16" t="str">
        <f t="shared" si="16"/>
        <v/>
      </c>
      <c r="J161" s="22"/>
      <c r="K161" s="22"/>
      <c r="L161" s="16" t="str">
        <f t="shared" si="17"/>
        <v/>
      </c>
      <c r="M161" s="22"/>
      <c r="N161" s="22"/>
      <c r="O161" s="16" t="str">
        <f t="shared" si="18"/>
        <v/>
      </c>
      <c r="P161" s="22"/>
      <c r="Q161" s="22"/>
      <c r="R161" s="16" t="str">
        <f t="shared" si="19"/>
        <v/>
      </c>
      <c r="S161" s="22"/>
      <c r="T161" s="22"/>
      <c r="U161" s="16" t="str">
        <f t="shared" si="20"/>
        <v/>
      </c>
      <c r="V161" s="17" t="str">
        <f t="shared" si="21"/>
        <v/>
      </c>
      <c r="W161" s="18" t="str">
        <f>IF(V161="","",IF(V161&gt;=Legend!$C$14,"GREEN",IF(V161&gt;=Legend!$C$15,"YELLOW",IF(V161&gt;=Legend!$C$16,"ORANGE","RED"))))</f>
        <v/>
      </c>
      <c r="X161" s="19" t="str">
        <f>IF(AND(I161&lt;&gt;"",I161&lt;Legend!$C$14),"Accuracy, ","")&amp;IF(AND(L161&lt;&gt;"",L161&lt;Legend!$C$14),"Completeness, ","")&amp;IF(AND(O161&lt;&gt;"",O161&lt;Legend!$C$14),"Consistency, ","")&amp;IF(AND(R161&lt;&gt;"",R161&lt;Legend!$C$14),"Timeliness, ","")&amp;IF(AND(U161&lt;&gt;"",U161&lt;Legend!$C$14),"Validity, ","")</f>
        <v/>
      </c>
      <c r="Y161" s="20" t="str">
        <f t="shared" si="22"/>
        <v/>
      </c>
    </row>
    <row r="162" spans="1:25" ht="15.75" customHeight="1" x14ac:dyDescent="0.25">
      <c r="A162" s="11" t="str">
        <f t="shared" si="23"/>
        <v/>
      </c>
      <c r="B162" s="21"/>
      <c r="C162" s="21"/>
      <c r="D162" s="22"/>
      <c r="E162" s="22"/>
      <c r="F162" s="23"/>
      <c r="G162" s="22"/>
      <c r="H162" s="22"/>
      <c r="I162" s="16" t="str">
        <f t="shared" si="16"/>
        <v/>
      </c>
      <c r="J162" s="22"/>
      <c r="K162" s="22"/>
      <c r="L162" s="16" t="str">
        <f t="shared" si="17"/>
        <v/>
      </c>
      <c r="M162" s="22"/>
      <c r="N162" s="22"/>
      <c r="O162" s="16" t="str">
        <f t="shared" si="18"/>
        <v/>
      </c>
      <c r="P162" s="22"/>
      <c r="Q162" s="22"/>
      <c r="R162" s="16" t="str">
        <f t="shared" si="19"/>
        <v/>
      </c>
      <c r="S162" s="22"/>
      <c r="T162" s="22"/>
      <c r="U162" s="16" t="str">
        <f t="shared" si="20"/>
        <v/>
      </c>
      <c r="V162" s="17" t="str">
        <f t="shared" si="21"/>
        <v/>
      </c>
      <c r="W162" s="18" t="str">
        <f>IF(V162="","",IF(V162&gt;=Legend!$C$14,"GREEN",IF(V162&gt;=Legend!$C$15,"YELLOW",IF(V162&gt;=Legend!$C$16,"ORANGE","RED"))))</f>
        <v/>
      </c>
      <c r="X162" s="19" t="str">
        <f>IF(AND(I162&lt;&gt;"",I162&lt;Legend!$C$14),"Accuracy, ","")&amp;IF(AND(L162&lt;&gt;"",L162&lt;Legend!$C$14),"Completeness, ","")&amp;IF(AND(O162&lt;&gt;"",O162&lt;Legend!$C$14),"Consistency, ","")&amp;IF(AND(R162&lt;&gt;"",R162&lt;Legend!$C$14),"Timeliness, ","")&amp;IF(AND(U162&lt;&gt;"",U162&lt;Legend!$C$14),"Validity, ","")</f>
        <v/>
      </c>
      <c r="Y162" s="20" t="str">
        <f t="shared" si="22"/>
        <v/>
      </c>
    </row>
    <row r="163" spans="1:25" ht="15.75" customHeight="1" x14ac:dyDescent="0.25">
      <c r="A163" s="11" t="str">
        <f t="shared" si="23"/>
        <v/>
      </c>
      <c r="B163" s="21"/>
      <c r="C163" s="21"/>
      <c r="D163" s="22"/>
      <c r="E163" s="22"/>
      <c r="F163" s="23"/>
      <c r="G163" s="22"/>
      <c r="H163" s="22"/>
      <c r="I163" s="16" t="str">
        <f t="shared" si="16"/>
        <v/>
      </c>
      <c r="J163" s="22"/>
      <c r="K163" s="22"/>
      <c r="L163" s="16" t="str">
        <f t="shared" si="17"/>
        <v/>
      </c>
      <c r="M163" s="22"/>
      <c r="N163" s="22"/>
      <c r="O163" s="16" t="str">
        <f t="shared" si="18"/>
        <v/>
      </c>
      <c r="P163" s="22"/>
      <c r="Q163" s="22"/>
      <c r="R163" s="16" t="str">
        <f t="shared" si="19"/>
        <v/>
      </c>
      <c r="S163" s="22"/>
      <c r="T163" s="22"/>
      <c r="U163" s="16" t="str">
        <f t="shared" si="20"/>
        <v/>
      </c>
      <c r="V163" s="17" t="str">
        <f t="shared" si="21"/>
        <v/>
      </c>
      <c r="W163" s="18" t="str">
        <f>IF(V163="","",IF(V163&gt;=Legend!$C$14,"GREEN",IF(V163&gt;=Legend!$C$15,"YELLOW",IF(V163&gt;=Legend!$C$16,"ORANGE","RED"))))</f>
        <v/>
      </c>
      <c r="X163" s="19" t="str">
        <f>IF(AND(I163&lt;&gt;"",I163&lt;Legend!$C$14),"Accuracy, ","")&amp;IF(AND(L163&lt;&gt;"",L163&lt;Legend!$C$14),"Completeness, ","")&amp;IF(AND(O163&lt;&gt;"",O163&lt;Legend!$C$14),"Consistency, ","")&amp;IF(AND(R163&lt;&gt;"",R163&lt;Legend!$C$14),"Timeliness, ","")&amp;IF(AND(U163&lt;&gt;"",U163&lt;Legend!$C$14),"Validity, ","")</f>
        <v/>
      </c>
      <c r="Y163" s="20" t="str">
        <f t="shared" si="22"/>
        <v/>
      </c>
    </row>
    <row r="164" spans="1:25" ht="15.75" customHeight="1" x14ac:dyDescent="0.25">
      <c r="A164" s="11" t="str">
        <f t="shared" si="23"/>
        <v/>
      </c>
      <c r="B164" s="21"/>
      <c r="C164" s="21"/>
      <c r="D164" s="22"/>
      <c r="E164" s="22"/>
      <c r="F164" s="23"/>
      <c r="G164" s="22"/>
      <c r="H164" s="22"/>
      <c r="I164" s="16" t="str">
        <f t="shared" si="16"/>
        <v/>
      </c>
      <c r="J164" s="22"/>
      <c r="K164" s="22"/>
      <c r="L164" s="16" t="str">
        <f t="shared" si="17"/>
        <v/>
      </c>
      <c r="M164" s="22"/>
      <c r="N164" s="22"/>
      <c r="O164" s="16" t="str">
        <f t="shared" si="18"/>
        <v/>
      </c>
      <c r="P164" s="22"/>
      <c r="Q164" s="22"/>
      <c r="R164" s="16" t="str">
        <f t="shared" si="19"/>
        <v/>
      </c>
      <c r="S164" s="22"/>
      <c r="T164" s="22"/>
      <c r="U164" s="16" t="str">
        <f t="shared" si="20"/>
        <v/>
      </c>
      <c r="V164" s="17" t="str">
        <f t="shared" si="21"/>
        <v/>
      </c>
      <c r="W164" s="18" t="str">
        <f>IF(V164="","",IF(V164&gt;=Legend!$C$14,"GREEN",IF(V164&gt;=Legend!$C$15,"YELLOW",IF(V164&gt;=Legend!$C$16,"ORANGE","RED"))))</f>
        <v/>
      </c>
      <c r="X164" s="19" t="str">
        <f>IF(AND(I164&lt;&gt;"",I164&lt;Legend!$C$14),"Accuracy, ","")&amp;IF(AND(L164&lt;&gt;"",L164&lt;Legend!$C$14),"Completeness, ","")&amp;IF(AND(O164&lt;&gt;"",O164&lt;Legend!$C$14),"Consistency, ","")&amp;IF(AND(R164&lt;&gt;"",R164&lt;Legend!$C$14),"Timeliness, ","")&amp;IF(AND(U164&lt;&gt;"",U164&lt;Legend!$C$14),"Validity, ","")</f>
        <v/>
      </c>
      <c r="Y164" s="20" t="str">
        <f t="shared" si="22"/>
        <v/>
      </c>
    </row>
    <row r="165" spans="1:25" ht="15.75" customHeight="1" x14ac:dyDescent="0.25">
      <c r="A165" s="11" t="str">
        <f t="shared" si="23"/>
        <v/>
      </c>
      <c r="B165" s="21"/>
      <c r="C165" s="21"/>
      <c r="D165" s="22"/>
      <c r="E165" s="22"/>
      <c r="F165" s="23"/>
      <c r="G165" s="22"/>
      <c r="H165" s="22"/>
      <c r="I165" s="16" t="str">
        <f t="shared" si="16"/>
        <v/>
      </c>
      <c r="J165" s="22"/>
      <c r="K165" s="22"/>
      <c r="L165" s="16" t="str">
        <f t="shared" si="17"/>
        <v/>
      </c>
      <c r="M165" s="22"/>
      <c r="N165" s="22"/>
      <c r="O165" s="16" t="str">
        <f t="shared" si="18"/>
        <v/>
      </c>
      <c r="P165" s="22"/>
      <c r="Q165" s="22"/>
      <c r="R165" s="16" t="str">
        <f t="shared" si="19"/>
        <v/>
      </c>
      <c r="S165" s="22"/>
      <c r="T165" s="22"/>
      <c r="U165" s="16" t="str">
        <f t="shared" si="20"/>
        <v/>
      </c>
      <c r="V165" s="17" t="str">
        <f t="shared" si="21"/>
        <v/>
      </c>
      <c r="W165" s="18" t="str">
        <f>IF(V165="","",IF(V165&gt;=Legend!$C$14,"GREEN",IF(V165&gt;=Legend!$C$15,"YELLOW",IF(V165&gt;=Legend!$C$16,"ORANGE","RED"))))</f>
        <v/>
      </c>
      <c r="X165" s="19" t="str">
        <f>IF(AND(I165&lt;&gt;"",I165&lt;Legend!$C$14),"Accuracy, ","")&amp;IF(AND(L165&lt;&gt;"",L165&lt;Legend!$C$14),"Completeness, ","")&amp;IF(AND(O165&lt;&gt;"",O165&lt;Legend!$C$14),"Consistency, ","")&amp;IF(AND(R165&lt;&gt;"",R165&lt;Legend!$C$14),"Timeliness, ","")&amp;IF(AND(U165&lt;&gt;"",U165&lt;Legend!$C$14),"Validity, ","")</f>
        <v/>
      </c>
      <c r="Y165" s="20" t="str">
        <f t="shared" si="22"/>
        <v/>
      </c>
    </row>
    <row r="166" spans="1:25" ht="15.75" customHeight="1" x14ac:dyDescent="0.25">
      <c r="A166" s="11" t="str">
        <f t="shared" si="23"/>
        <v/>
      </c>
      <c r="B166" s="21"/>
      <c r="C166" s="21"/>
      <c r="D166" s="22"/>
      <c r="E166" s="22"/>
      <c r="F166" s="23"/>
      <c r="G166" s="22"/>
      <c r="H166" s="22"/>
      <c r="I166" s="16" t="str">
        <f t="shared" si="16"/>
        <v/>
      </c>
      <c r="J166" s="22"/>
      <c r="K166" s="22"/>
      <c r="L166" s="16" t="str">
        <f t="shared" si="17"/>
        <v/>
      </c>
      <c r="M166" s="22"/>
      <c r="N166" s="22"/>
      <c r="O166" s="16" t="str">
        <f t="shared" si="18"/>
        <v/>
      </c>
      <c r="P166" s="22"/>
      <c r="Q166" s="22"/>
      <c r="R166" s="16" t="str">
        <f t="shared" si="19"/>
        <v/>
      </c>
      <c r="S166" s="22"/>
      <c r="T166" s="22"/>
      <c r="U166" s="16" t="str">
        <f t="shared" si="20"/>
        <v/>
      </c>
      <c r="V166" s="17" t="str">
        <f t="shared" si="21"/>
        <v/>
      </c>
      <c r="W166" s="18" t="str">
        <f>IF(V166="","",IF(V166&gt;=Legend!$C$14,"GREEN",IF(V166&gt;=Legend!$C$15,"YELLOW",IF(V166&gt;=Legend!$C$16,"ORANGE","RED"))))</f>
        <v/>
      </c>
      <c r="X166" s="19" t="str">
        <f>IF(AND(I166&lt;&gt;"",I166&lt;Legend!$C$14),"Accuracy, ","")&amp;IF(AND(L166&lt;&gt;"",L166&lt;Legend!$C$14),"Completeness, ","")&amp;IF(AND(O166&lt;&gt;"",O166&lt;Legend!$C$14),"Consistency, ","")&amp;IF(AND(R166&lt;&gt;"",R166&lt;Legend!$C$14),"Timeliness, ","")&amp;IF(AND(U166&lt;&gt;"",U166&lt;Legend!$C$14),"Validity, ","")</f>
        <v/>
      </c>
      <c r="Y166" s="20" t="str">
        <f t="shared" si="22"/>
        <v/>
      </c>
    </row>
    <row r="167" spans="1:25" ht="15.75" customHeight="1" x14ac:dyDescent="0.25">
      <c r="A167" s="11" t="str">
        <f t="shared" si="23"/>
        <v/>
      </c>
      <c r="B167" s="21"/>
      <c r="C167" s="21"/>
      <c r="D167" s="22"/>
      <c r="E167" s="22"/>
      <c r="F167" s="23"/>
      <c r="G167" s="22"/>
      <c r="H167" s="22"/>
      <c r="I167" s="16" t="str">
        <f t="shared" si="16"/>
        <v/>
      </c>
      <c r="J167" s="22"/>
      <c r="K167" s="22"/>
      <c r="L167" s="16" t="str">
        <f t="shared" si="17"/>
        <v/>
      </c>
      <c r="M167" s="22"/>
      <c r="N167" s="22"/>
      <c r="O167" s="16" t="str">
        <f t="shared" si="18"/>
        <v/>
      </c>
      <c r="P167" s="22"/>
      <c r="Q167" s="22"/>
      <c r="R167" s="16" t="str">
        <f t="shared" si="19"/>
        <v/>
      </c>
      <c r="S167" s="22"/>
      <c r="T167" s="22"/>
      <c r="U167" s="16" t="str">
        <f t="shared" si="20"/>
        <v/>
      </c>
      <c r="V167" s="17" t="str">
        <f t="shared" si="21"/>
        <v/>
      </c>
      <c r="W167" s="18" t="str">
        <f>IF(V167="","",IF(V167&gt;=Legend!$C$14,"GREEN",IF(V167&gt;=Legend!$C$15,"YELLOW",IF(V167&gt;=Legend!$C$16,"ORANGE","RED"))))</f>
        <v/>
      </c>
      <c r="X167" s="19" t="str">
        <f>IF(AND(I167&lt;&gt;"",I167&lt;Legend!$C$14),"Accuracy, ","")&amp;IF(AND(L167&lt;&gt;"",L167&lt;Legend!$C$14),"Completeness, ","")&amp;IF(AND(O167&lt;&gt;"",O167&lt;Legend!$C$14),"Consistency, ","")&amp;IF(AND(R167&lt;&gt;"",R167&lt;Legend!$C$14),"Timeliness, ","")&amp;IF(AND(U167&lt;&gt;"",U167&lt;Legend!$C$14),"Validity, ","")</f>
        <v/>
      </c>
      <c r="Y167" s="20" t="str">
        <f t="shared" si="22"/>
        <v/>
      </c>
    </row>
    <row r="168" spans="1:25" ht="15.75" customHeight="1" x14ac:dyDescent="0.25">
      <c r="A168" s="11" t="str">
        <f t="shared" si="23"/>
        <v/>
      </c>
      <c r="B168" s="21"/>
      <c r="C168" s="21"/>
      <c r="D168" s="22"/>
      <c r="E168" s="22"/>
      <c r="F168" s="23"/>
      <c r="G168" s="22"/>
      <c r="H168" s="22"/>
      <c r="I168" s="16" t="str">
        <f t="shared" si="16"/>
        <v/>
      </c>
      <c r="J168" s="22"/>
      <c r="K168" s="22"/>
      <c r="L168" s="16" t="str">
        <f t="shared" si="17"/>
        <v/>
      </c>
      <c r="M168" s="22"/>
      <c r="N168" s="22"/>
      <c r="O168" s="16" t="str">
        <f t="shared" si="18"/>
        <v/>
      </c>
      <c r="P168" s="22"/>
      <c r="Q168" s="22"/>
      <c r="R168" s="16" t="str">
        <f t="shared" si="19"/>
        <v/>
      </c>
      <c r="S168" s="22"/>
      <c r="T168" s="22"/>
      <c r="U168" s="16" t="str">
        <f t="shared" si="20"/>
        <v/>
      </c>
      <c r="V168" s="17" t="str">
        <f t="shared" si="21"/>
        <v/>
      </c>
      <c r="W168" s="18" t="str">
        <f>IF(V168="","",IF(V168&gt;=Legend!$C$14,"GREEN",IF(V168&gt;=Legend!$C$15,"YELLOW",IF(V168&gt;=Legend!$C$16,"ORANGE","RED"))))</f>
        <v/>
      </c>
      <c r="X168" s="19" t="str">
        <f>IF(AND(I168&lt;&gt;"",I168&lt;Legend!$C$14),"Accuracy, ","")&amp;IF(AND(L168&lt;&gt;"",L168&lt;Legend!$C$14),"Completeness, ","")&amp;IF(AND(O168&lt;&gt;"",O168&lt;Legend!$C$14),"Consistency, ","")&amp;IF(AND(R168&lt;&gt;"",R168&lt;Legend!$C$14),"Timeliness, ","")&amp;IF(AND(U168&lt;&gt;"",U168&lt;Legend!$C$14),"Validity, ","")</f>
        <v/>
      </c>
      <c r="Y168" s="20" t="str">
        <f t="shared" si="22"/>
        <v/>
      </c>
    </row>
    <row r="169" spans="1:25" ht="15.75" customHeight="1" x14ac:dyDescent="0.25">
      <c r="A169" s="11" t="str">
        <f t="shared" si="23"/>
        <v/>
      </c>
      <c r="B169" s="21"/>
      <c r="C169" s="21"/>
      <c r="D169" s="22"/>
      <c r="E169" s="22"/>
      <c r="F169" s="23"/>
      <c r="G169" s="22"/>
      <c r="H169" s="22"/>
      <c r="I169" s="16" t="str">
        <f t="shared" si="16"/>
        <v/>
      </c>
      <c r="J169" s="22"/>
      <c r="K169" s="22"/>
      <c r="L169" s="16" t="str">
        <f t="shared" si="17"/>
        <v/>
      </c>
      <c r="M169" s="22"/>
      <c r="N169" s="22"/>
      <c r="O169" s="16" t="str">
        <f t="shared" si="18"/>
        <v/>
      </c>
      <c r="P169" s="22"/>
      <c r="Q169" s="22"/>
      <c r="R169" s="16" t="str">
        <f t="shared" si="19"/>
        <v/>
      </c>
      <c r="S169" s="22"/>
      <c r="T169" s="22"/>
      <c r="U169" s="16" t="str">
        <f t="shared" si="20"/>
        <v/>
      </c>
      <c r="V169" s="17" t="str">
        <f t="shared" si="21"/>
        <v/>
      </c>
      <c r="W169" s="18" t="str">
        <f>IF(V169="","",IF(V169&gt;=Legend!$C$14,"GREEN",IF(V169&gt;=Legend!$C$15,"YELLOW",IF(V169&gt;=Legend!$C$16,"ORANGE","RED"))))</f>
        <v/>
      </c>
      <c r="X169" s="19" t="str">
        <f>IF(AND(I169&lt;&gt;"",I169&lt;Legend!$C$14),"Accuracy, ","")&amp;IF(AND(L169&lt;&gt;"",L169&lt;Legend!$C$14),"Completeness, ","")&amp;IF(AND(O169&lt;&gt;"",O169&lt;Legend!$C$14),"Consistency, ","")&amp;IF(AND(R169&lt;&gt;"",R169&lt;Legend!$C$14),"Timeliness, ","")&amp;IF(AND(U169&lt;&gt;"",U169&lt;Legend!$C$14),"Validity, ","")</f>
        <v/>
      </c>
      <c r="Y169" s="20" t="str">
        <f t="shared" si="22"/>
        <v/>
      </c>
    </row>
    <row r="170" spans="1:25" ht="15.75" customHeight="1" x14ac:dyDescent="0.25">
      <c r="A170" s="11" t="str">
        <f t="shared" si="23"/>
        <v/>
      </c>
      <c r="B170" s="21"/>
      <c r="C170" s="21"/>
      <c r="D170" s="22"/>
      <c r="E170" s="22"/>
      <c r="F170" s="23"/>
      <c r="G170" s="22"/>
      <c r="H170" s="22"/>
      <c r="I170" s="16" t="str">
        <f t="shared" si="16"/>
        <v/>
      </c>
      <c r="J170" s="22"/>
      <c r="K170" s="22"/>
      <c r="L170" s="16" t="str">
        <f t="shared" si="17"/>
        <v/>
      </c>
      <c r="M170" s="22"/>
      <c r="N170" s="22"/>
      <c r="O170" s="16" t="str">
        <f t="shared" si="18"/>
        <v/>
      </c>
      <c r="P170" s="22"/>
      <c r="Q170" s="22"/>
      <c r="R170" s="16" t="str">
        <f t="shared" si="19"/>
        <v/>
      </c>
      <c r="S170" s="22"/>
      <c r="T170" s="22"/>
      <c r="U170" s="16" t="str">
        <f t="shared" si="20"/>
        <v/>
      </c>
      <c r="V170" s="17" t="str">
        <f t="shared" si="21"/>
        <v/>
      </c>
      <c r="W170" s="18" t="str">
        <f>IF(V170="","",IF(V170&gt;=Legend!$C$14,"GREEN",IF(V170&gt;=Legend!$C$15,"YELLOW",IF(V170&gt;=Legend!$C$16,"ORANGE","RED"))))</f>
        <v/>
      </c>
      <c r="X170" s="19" t="str">
        <f>IF(AND(I170&lt;&gt;"",I170&lt;Legend!$C$14),"Accuracy, ","")&amp;IF(AND(L170&lt;&gt;"",L170&lt;Legend!$C$14),"Completeness, ","")&amp;IF(AND(O170&lt;&gt;"",O170&lt;Legend!$C$14),"Consistency, ","")&amp;IF(AND(R170&lt;&gt;"",R170&lt;Legend!$C$14),"Timeliness, ","")&amp;IF(AND(U170&lt;&gt;"",U170&lt;Legend!$C$14),"Validity, ","")</f>
        <v/>
      </c>
      <c r="Y170" s="20" t="str">
        <f t="shared" si="22"/>
        <v/>
      </c>
    </row>
    <row r="171" spans="1:25" ht="15.75" customHeight="1" x14ac:dyDescent="0.25">
      <c r="A171" s="11" t="str">
        <f t="shared" si="23"/>
        <v/>
      </c>
      <c r="B171" s="21"/>
      <c r="C171" s="21"/>
      <c r="D171" s="22"/>
      <c r="E171" s="22"/>
      <c r="F171" s="23"/>
      <c r="G171" s="22"/>
      <c r="H171" s="22"/>
      <c r="I171" s="16" t="str">
        <f t="shared" si="16"/>
        <v/>
      </c>
      <c r="J171" s="22"/>
      <c r="K171" s="22"/>
      <c r="L171" s="16" t="str">
        <f t="shared" si="17"/>
        <v/>
      </c>
      <c r="M171" s="22"/>
      <c r="N171" s="22"/>
      <c r="O171" s="16" t="str">
        <f t="shared" si="18"/>
        <v/>
      </c>
      <c r="P171" s="22"/>
      <c r="Q171" s="22"/>
      <c r="R171" s="16" t="str">
        <f t="shared" si="19"/>
        <v/>
      </c>
      <c r="S171" s="22"/>
      <c r="T171" s="22"/>
      <c r="U171" s="16" t="str">
        <f t="shared" si="20"/>
        <v/>
      </c>
      <c r="V171" s="17" t="str">
        <f t="shared" si="21"/>
        <v/>
      </c>
      <c r="W171" s="18" t="str">
        <f>IF(V171="","",IF(V171&gt;=Legend!$C$14,"GREEN",IF(V171&gt;=Legend!$C$15,"YELLOW",IF(V171&gt;=Legend!$C$16,"ORANGE","RED"))))</f>
        <v/>
      </c>
      <c r="X171" s="19" t="str">
        <f>IF(AND(I171&lt;&gt;"",I171&lt;Legend!$C$14),"Accuracy, ","")&amp;IF(AND(L171&lt;&gt;"",L171&lt;Legend!$C$14),"Completeness, ","")&amp;IF(AND(O171&lt;&gt;"",O171&lt;Legend!$C$14),"Consistency, ","")&amp;IF(AND(R171&lt;&gt;"",R171&lt;Legend!$C$14),"Timeliness, ","")&amp;IF(AND(U171&lt;&gt;"",U171&lt;Legend!$C$14),"Validity, ","")</f>
        <v/>
      </c>
      <c r="Y171" s="20" t="str">
        <f t="shared" si="22"/>
        <v/>
      </c>
    </row>
    <row r="172" spans="1:25" ht="15.75" customHeight="1" x14ac:dyDescent="0.25">
      <c r="A172" s="11" t="str">
        <f t="shared" si="23"/>
        <v/>
      </c>
      <c r="B172" s="21"/>
      <c r="C172" s="21"/>
      <c r="D172" s="22"/>
      <c r="E172" s="22"/>
      <c r="F172" s="23"/>
      <c r="G172" s="22"/>
      <c r="H172" s="22"/>
      <c r="I172" s="16" t="str">
        <f t="shared" si="16"/>
        <v/>
      </c>
      <c r="J172" s="22"/>
      <c r="K172" s="22"/>
      <c r="L172" s="16" t="str">
        <f t="shared" si="17"/>
        <v/>
      </c>
      <c r="M172" s="22"/>
      <c r="N172" s="22"/>
      <c r="O172" s="16" t="str">
        <f t="shared" si="18"/>
        <v/>
      </c>
      <c r="P172" s="22"/>
      <c r="Q172" s="22"/>
      <c r="R172" s="16" t="str">
        <f t="shared" si="19"/>
        <v/>
      </c>
      <c r="S172" s="22"/>
      <c r="T172" s="22"/>
      <c r="U172" s="16" t="str">
        <f t="shared" si="20"/>
        <v/>
      </c>
      <c r="V172" s="17" t="str">
        <f t="shared" si="21"/>
        <v/>
      </c>
      <c r="W172" s="18" t="str">
        <f>IF(V172="","",IF(V172&gt;=Legend!$C$14,"GREEN",IF(V172&gt;=Legend!$C$15,"YELLOW",IF(V172&gt;=Legend!$C$16,"ORANGE","RED"))))</f>
        <v/>
      </c>
      <c r="X172" s="19" t="str">
        <f>IF(AND(I172&lt;&gt;"",I172&lt;Legend!$C$14),"Accuracy, ","")&amp;IF(AND(L172&lt;&gt;"",L172&lt;Legend!$C$14),"Completeness, ","")&amp;IF(AND(O172&lt;&gt;"",O172&lt;Legend!$C$14),"Consistency, ","")&amp;IF(AND(R172&lt;&gt;"",R172&lt;Legend!$C$14),"Timeliness, ","")&amp;IF(AND(U172&lt;&gt;"",U172&lt;Legend!$C$14),"Validity, ","")</f>
        <v/>
      </c>
      <c r="Y172" s="20" t="str">
        <f t="shared" si="22"/>
        <v/>
      </c>
    </row>
    <row r="173" spans="1:25" ht="15.75" customHeight="1" x14ac:dyDescent="0.25">
      <c r="A173" s="11" t="str">
        <f t="shared" si="23"/>
        <v/>
      </c>
      <c r="B173" s="21"/>
      <c r="C173" s="21"/>
      <c r="D173" s="22"/>
      <c r="E173" s="22"/>
      <c r="F173" s="23"/>
      <c r="G173" s="22"/>
      <c r="H173" s="22"/>
      <c r="I173" s="16" t="str">
        <f t="shared" si="16"/>
        <v/>
      </c>
      <c r="J173" s="22"/>
      <c r="K173" s="22"/>
      <c r="L173" s="16" t="str">
        <f t="shared" si="17"/>
        <v/>
      </c>
      <c r="M173" s="22"/>
      <c r="N173" s="22"/>
      <c r="O173" s="16" t="str">
        <f t="shared" si="18"/>
        <v/>
      </c>
      <c r="P173" s="22"/>
      <c r="Q173" s="22"/>
      <c r="R173" s="16" t="str">
        <f t="shared" si="19"/>
        <v/>
      </c>
      <c r="S173" s="22"/>
      <c r="T173" s="22"/>
      <c r="U173" s="16" t="str">
        <f t="shared" si="20"/>
        <v/>
      </c>
      <c r="V173" s="17" t="str">
        <f t="shared" si="21"/>
        <v/>
      </c>
      <c r="W173" s="18" t="str">
        <f>IF(V173="","",IF(V173&gt;=Legend!$C$14,"GREEN",IF(V173&gt;=Legend!$C$15,"YELLOW",IF(V173&gt;=Legend!$C$16,"ORANGE","RED"))))</f>
        <v/>
      </c>
      <c r="X173" s="19" t="str">
        <f>IF(AND(I173&lt;&gt;"",I173&lt;Legend!$C$14),"Accuracy, ","")&amp;IF(AND(L173&lt;&gt;"",L173&lt;Legend!$C$14),"Completeness, ","")&amp;IF(AND(O173&lt;&gt;"",O173&lt;Legend!$C$14),"Consistency, ","")&amp;IF(AND(R173&lt;&gt;"",R173&lt;Legend!$C$14),"Timeliness, ","")&amp;IF(AND(U173&lt;&gt;"",U173&lt;Legend!$C$14),"Validity, ","")</f>
        <v/>
      </c>
      <c r="Y173" s="20" t="str">
        <f t="shared" si="22"/>
        <v/>
      </c>
    </row>
    <row r="174" spans="1:25" ht="15.75" customHeight="1" x14ac:dyDescent="0.25">
      <c r="A174" s="11" t="str">
        <f t="shared" si="23"/>
        <v/>
      </c>
      <c r="B174" s="21"/>
      <c r="C174" s="21"/>
      <c r="D174" s="22"/>
      <c r="E174" s="22"/>
      <c r="F174" s="23"/>
      <c r="G174" s="22"/>
      <c r="H174" s="22"/>
      <c r="I174" s="16" t="str">
        <f t="shared" si="16"/>
        <v/>
      </c>
      <c r="J174" s="22"/>
      <c r="K174" s="22"/>
      <c r="L174" s="16" t="str">
        <f t="shared" si="17"/>
        <v/>
      </c>
      <c r="M174" s="22"/>
      <c r="N174" s="22"/>
      <c r="O174" s="16" t="str">
        <f t="shared" si="18"/>
        <v/>
      </c>
      <c r="P174" s="22"/>
      <c r="Q174" s="22"/>
      <c r="R174" s="16" t="str">
        <f t="shared" si="19"/>
        <v/>
      </c>
      <c r="S174" s="22"/>
      <c r="T174" s="22"/>
      <c r="U174" s="16" t="str">
        <f t="shared" si="20"/>
        <v/>
      </c>
      <c r="V174" s="17" t="str">
        <f t="shared" si="21"/>
        <v/>
      </c>
      <c r="W174" s="18" t="str">
        <f>IF(V174="","",IF(V174&gt;=Legend!$C$14,"GREEN",IF(V174&gt;=Legend!$C$15,"YELLOW",IF(V174&gt;=Legend!$C$16,"ORANGE","RED"))))</f>
        <v/>
      </c>
      <c r="X174" s="19" t="str">
        <f>IF(AND(I174&lt;&gt;"",I174&lt;Legend!$C$14),"Accuracy, ","")&amp;IF(AND(L174&lt;&gt;"",L174&lt;Legend!$C$14),"Completeness, ","")&amp;IF(AND(O174&lt;&gt;"",O174&lt;Legend!$C$14),"Consistency, ","")&amp;IF(AND(R174&lt;&gt;"",R174&lt;Legend!$C$14),"Timeliness, ","")&amp;IF(AND(U174&lt;&gt;"",U174&lt;Legend!$C$14),"Validity, ","")</f>
        <v/>
      </c>
      <c r="Y174" s="20" t="str">
        <f t="shared" si="22"/>
        <v/>
      </c>
    </row>
    <row r="175" spans="1:25" ht="15.75" customHeight="1" x14ac:dyDescent="0.25">
      <c r="A175" s="11" t="str">
        <f t="shared" si="23"/>
        <v/>
      </c>
      <c r="B175" s="21"/>
      <c r="C175" s="21"/>
      <c r="D175" s="22"/>
      <c r="E175" s="22"/>
      <c r="F175" s="23"/>
      <c r="G175" s="22"/>
      <c r="H175" s="22"/>
      <c r="I175" s="16" t="str">
        <f t="shared" si="16"/>
        <v/>
      </c>
      <c r="J175" s="22"/>
      <c r="K175" s="22"/>
      <c r="L175" s="16" t="str">
        <f t="shared" si="17"/>
        <v/>
      </c>
      <c r="M175" s="22"/>
      <c r="N175" s="22"/>
      <c r="O175" s="16" t="str">
        <f t="shared" si="18"/>
        <v/>
      </c>
      <c r="P175" s="22"/>
      <c r="Q175" s="22"/>
      <c r="R175" s="16" t="str">
        <f t="shared" si="19"/>
        <v/>
      </c>
      <c r="S175" s="22"/>
      <c r="T175" s="22"/>
      <c r="U175" s="16" t="str">
        <f t="shared" si="20"/>
        <v/>
      </c>
      <c r="V175" s="17" t="str">
        <f t="shared" si="21"/>
        <v/>
      </c>
      <c r="W175" s="18" t="str">
        <f>IF(V175="","",IF(V175&gt;=Legend!$C$14,"GREEN",IF(V175&gt;=Legend!$C$15,"YELLOW",IF(V175&gt;=Legend!$C$16,"ORANGE","RED"))))</f>
        <v/>
      </c>
      <c r="X175" s="19" t="str">
        <f>IF(AND(I175&lt;&gt;"",I175&lt;Legend!$C$14),"Accuracy, ","")&amp;IF(AND(L175&lt;&gt;"",L175&lt;Legend!$C$14),"Completeness, ","")&amp;IF(AND(O175&lt;&gt;"",O175&lt;Legend!$C$14),"Consistency, ","")&amp;IF(AND(R175&lt;&gt;"",R175&lt;Legend!$C$14),"Timeliness, ","")&amp;IF(AND(U175&lt;&gt;"",U175&lt;Legend!$C$14),"Validity, ","")</f>
        <v/>
      </c>
      <c r="Y175" s="20" t="str">
        <f t="shared" si="22"/>
        <v/>
      </c>
    </row>
    <row r="176" spans="1:25" ht="15.75" customHeight="1" x14ac:dyDescent="0.25">
      <c r="A176" s="11" t="str">
        <f t="shared" si="23"/>
        <v/>
      </c>
      <c r="B176" s="21"/>
      <c r="C176" s="21"/>
      <c r="D176" s="22"/>
      <c r="E176" s="22"/>
      <c r="F176" s="23"/>
      <c r="G176" s="22"/>
      <c r="H176" s="22"/>
      <c r="I176" s="16" t="str">
        <f t="shared" si="16"/>
        <v/>
      </c>
      <c r="J176" s="22"/>
      <c r="K176" s="22"/>
      <c r="L176" s="16" t="str">
        <f t="shared" si="17"/>
        <v/>
      </c>
      <c r="M176" s="22"/>
      <c r="N176" s="22"/>
      <c r="O176" s="16" t="str">
        <f t="shared" si="18"/>
        <v/>
      </c>
      <c r="P176" s="22"/>
      <c r="Q176" s="22"/>
      <c r="R176" s="16" t="str">
        <f t="shared" si="19"/>
        <v/>
      </c>
      <c r="S176" s="22"/>
      <c r="T176" s="22"/>
      <c r="U176" s="16" t="str">
        <f t="shared" si="20"/>
        <v/>
      </c>
      <c r="V176" s="17" t="str">
        <f t="shared" si="21"/>
        <v/>
      </c>
      <c r="W176" s="18" t="str">
        <f>IF(V176="","",IF(V176&gt;=Legend!$C$14,"GREEN",IF(V176&gt;=Legend!$C$15,"YELLOW",IF(V176&gt;=Legend!$C$16,"ORANGE","RED"))))</f>
        <v/>
      </c>
      <c r="X176" s="19" t="str">
        <f>IF(AND(I176&lt;&gt;"",I176&lt;Legend!$C$14),"Accuracy, ","")&amp;IF(AND(L176&lt;&gt;"",L176&lt;Legend!$C$14),"Completeness, ","")&amp;IF(AND(O176&lt;&gt;"",O176&lt;Legend!$C$14),"Consistency, ","")&amp;IF(AND(R176&lt;&gt;"",R176&lt;Legend!$C$14),"Timeliness, ","")&amp;IF(AND(U176&lt;&gt;"",U176&lt;Legend!$C$14),"Validity, ","")</f>
        <v/>
      </c>
      <c r="Y176" s="20" t="str">
        <f t="shared" si="22"/>
        <v/>
      </c>
    </row>
    <row r="177" spans="1:25" ht="15.75" customHeight="1" x14ac:dyDescent="0.25">
      <c r="A177" s="11" t="str">
        <f t="shared" si="23"/>
        <v/>
      </c>
      <c r="B177" s="21"/>
      <c r="C177" s="21"/>
      <c r="D177" s="22"/>
      <c r="E177" s="22"/>
      <c r="F177" s="23"/>
      <c r="G177" s="22"/>
      <c r="H177" s="22"/>
      <c r="I177" s="16" t="str">
        <f t="shared" si="16"/>
        <v/>
      </c>
      <c r="J177" s="22"/>
      <c r="K177" s="22"/>
      <c r="L177" s="16" t="str">
        <f t="shared" si="17"/>
        <v/>
      </c>
      <c r="M177" s="22"/>
      <c r="N177" s="22"/>
      <c r="O177" s="16" t="str">
        <f t="shared" si="18"/>
        <v/>
      </c>
      <c r="P177" s="22"/>
      <c r="Q177" s="22"/>
      <c r="R177" s="16" t="str">
        <f t="shared" si="19"/>
        <v/>
      </c>
      <c r="S177" s="22"/>
      <c r="T177" s="22"/>
      <c r="U177" s="16" t="str">
        <f t="shared" si="20"/>
        <v/>
      </c>
      <c r="V177" s="17" t="str">
        <f t="shared" si="21"/>
        <v/>
      </c>
      <c r="W177" s="18" t="str">
        <f>IF(V177="","",IF(V177&gt;=Legend!$C$14,"GREEN",IF(V177&gt;=Legend!$C$15,"YELLOW",IF(V177&gt;=Legend!$C$16,"ORANGE","RED"))))</f>
        <v/>
      </c>
      <c r="X177" s="19" t="str">
        <f>IF(AND(I177&lt;&gt;"",I177&lt;Legend!$C$14),"Accuracy, ","")&amp;IF(AND(L177&lt;&gt;"",L177&lt;Legend!$C$14),"Completeness, ","")&amp;IF(AND(O177&lt;&gt;"",O177&lt;Legend!$C$14),"Consistency, ","")&amp;IF(AND(R177&lt;&gt;"",R177&lt;Legend!$C$14),"Timeliness, ","")&amp;IF(AND(U177&lt;&gt;"",U177&lt;Legend!$C$14),"Validity, ","")</f>
        <v/>
      </c>
      <c r="Y177" s="20" t="str">
        <f t="shared" si="22"/>
        <v/>
      </c>
    </row>
    <row r="178" spans="1:25" ht="15.75" customHeight="1" x14ac:dyDescent="0.25">
      <c r="A178" s="11" t="str">
        <f t="shared" si="23"/>
        <v/>
      </c>
      <c r="B178" s="21"/>
      <c r="C178" s="21"/>
      <c r="D178" s="22"/>
      <c r="E178" s="22"/>
      <c r="F178" s="23"/>
      <c r="G178" s="22"/>
      <c r="H178" s="22"/>
      <c r="I178" s="16" t="str">
        <f t="shared" si="16"/>
        <v/>
      </c>
      <c r="J178" s="22"/>
      <c r="K178" s="22"/>
      <c r="L178" s="16" t="str">
        <f t="shared" si="17"/>
        <v/>
      </c>
      <c r="M178" s="22"/>
      <c r="N178" s="22"/>
      <c r="O178" s="16" t="str">
        <f t="shared" si="18"/>
        <v/>
      </c>
      <c r="P178" s="22"/>
      <c r="Q178" s="22"/>
      <c r="R178" s="16" t="str">
        <f t="shared" si="19"/>
        <v/>
      </c>
      <c r="S178" s="22"/>
      <c r="T178" s="22"/>
      <c r="U178" s="16" t="str">
        <f t="shared" si="20"/>
        <v/>
      </c>
      <c r="V178" s="17" t="str">
        <f t="shared" si="21"/>
        <v/>
      </c>
      <c r="W178" s="18" t="str">
        <f>IF(V178="","",IF(V178&gt;=Legend!$C$14,"GREEN",IF(V178&gt;=Legend!$C$15,"YELLOW",IF(V178&gt;=Legend!$C$16,"ORANGE","RED"))))</f>
        <v/>
      </c>
      <c r="X178" s="19" t="str">
        <f>IF(AND(I178&lt;&gt;"",I178&lt;Legend!$C$14),"Accuracy, ","")&amp;IF(AND(L178&lt;&gt;"",L178&lt;Legend!$C$14),"Completeness, ","")&amp;IF(AND(O178&lt;&gt;"",O178&lt;Legend!$C$14),"Consistency, ","")&amp;IF(AND(R178&lt;&gt;"",R178&lt;Legend!$C$14),"Timeliness, ","")&amp;IF(AND(U178&lt;&gt;"",U178&lt;Legend!$C$14),"Validity, ","")</f>
        <v/>
      </c>
      <c r="Y178" s="20" t="str">
        <f t="shared" si="22"/>
        <v/>
      </c>
    </row>
    <row r="179" spans="1:25" ht="15.75" customHeight="1" x14ac:dyDescent="0.25">
      <c r="A179" s="11" t="str">
        <f t="shared" si="23"/>
        <v/>
      </c>
      <c r="B179" s="21"/>
      <c r="C179" s="21"/>
      <c r="D179" s="22"/>
      <c r="E179" s="22"/>
      <c r="F179" s="23"/>
      <c r="G179" s="22"/>
      <c r="H179" s="22"/>
      <c r="I179" s="16" t="str">
        <f t="shared" si="16"/>
        <v/>
      </c>
      <c r="J179" s="22"/>
      <c r="K179" s="22"/>
      <c r="L179" s="16" t="str">
        <f t="shared" si="17"/>
        <v/>
      </c>
      <c r="M179" s="22"/>
      <c r="N179" s="22"/>
      <c r="O179" s="16" t="str">
        <f t="shared" si="18"/>
        <v/>
      </c>
      <c r="P179" s="22"/>
      <c r="Q179" s="22"/>
      <c r="R179" s="16" t="str">
        <f t="shared" si="19"/>
        <v/>
      </c>
      <c r="S179" s="22"/>
      <c r="T179" s="22"/>
      <c r="U179" s="16" t="str">
        <f t="shared" si="20"/>
        <v/>
      </c>
      <c r="V179" s="17" t="str">
        <f t="shared" si="21"/>
        <v/>
      </c>
      <c r="W179" s="18" t="str">
        <f>IF(V179="","",IF(V179&gt;=Legend!$C$14,"GREEN",IF(V179&gt;=Legend!$C$15,"YELLOW",IF(V179&gt;=Legend!$C$16,"ORANGE","RED"))))</f>
        <v/>
      </c>
      <c r="X179" s="19" t="str">
        <f>IF(AND(I179&lt;&gt;"",I179&lt;Legend!$C$14),"Accuracy, ","")&amp;IF(AND(L179&lt;&gt;"",L179&lt;Legend!$C$14),"Completeness, ","")&amp;IF(AND(O179&lt;&gt;"",O179&lt;Legend!$C$14),"Consistency, ","")&amp;IF(AND(R179&lt;&gt;"",R179&lt;Legend!$C$14),"Timeliness, ","")&amp;IF(AND(U179&lt;&gt;"",U179&lt;Legend!$C$14),"Validity, ","")</f>
        <v/>
      </c>
      <c r="Y179" s="20" t="str">
        <f t="shared" si="22"/>
        <v/>
      </c>
    </row>
    <row r="180" spans="1:25" ht="15.75" customHeight="1" x14ac:dyDescent="0.25">
      <c r="A180" s="11" t="str">
        <f t="shared" si="23"/>
        <v/>
      </c>
      <c r="B180" s="21"/>
      <c r="C180" s="21"/>
      <c r="D180" s="22"/>
      <c r="E180" s="22"/>
      <c r="F180" s="23"/>
      <c r="G180" s="22"/>
      <c r="H180" s="22"/>
      <c r="I180" s="16" t="str">
        <f t="shared" si="16"/>
        <v/>
      </c>
      <c r="J180" s="22"/>
      <c r="K180" s="22"/>
      <c r="L180" s="16" t="str">
        <f t="shared" si="17"/>
        <v/>
      </c>
      <c r="M180" s="22"/>
      <c r="N180" s="22"/>
      <c r="O180" s="16" t="str">
        <f t="shared" si="18"/>
        <v/>
      </c>
      <c r="P180" s="22"/>
      <c r="Q180" s="22"/>
      <c r="R180" s="16" t="str">
        <f t="shared" si="19"/>
        <v/>
      </c>
      <c r="S180" s="22"/>
      <c r="T180" s="22"/>
      <c r="U180" s="16" t="str">
        <f t="shared" si="20"/>
        <v/>
      </c>
      <c r="V180" s="17" t="str">
        <f t="shared" si="21"/>
        <v/>
      </c>
      <c r="W180" s="18" t="str">
        <f>IF(V180="","",IF(V180&gt;=Legend!$C$14,"GREEN",IF(V180&gt;=Legend!$C$15,"YELLOW",IF(V180&gt;=Legend!$C$16,"ORANGE","RED"))))</f>
        <v/>
      </c>
      <c r="X180" s="19" t="str">
        <f>IF(AND(I180&lt;&gt;"",I180&lt;Legend!$C$14),"Accuracy, ","")&amp;IF(AND(L180&lt;&gt;"",L180&lt;Legend!$C$14),"Completeness, ","")&amp;IF(AND(O180&lt;&gt;"",O180&lt;Legend!$C$14),"Consistency, ","")&amp;IF(AND(R180&lt;&gt;"",R180&lt;Legend!$C$14),"Timeliness, ","")&amp;IF(AND(U180&lt;&gt;"",U180&lt;Legend!$C$14),"Validity, ","")</f>
        <v/>
      </c>
      <c r="Y180" s="20" t="str">
        <f t="shared" si="22"/>
        <v/>
      </c>
    </row>
    <row r="181" spans="1:25" ht="15.75" customHeight="1" x14ac:dyDescent="0.25">
      <c r="A181" s="11" t="str">
        <f t="shared" si="23"/>
        <v/>
      </c>
      <c r="B181" s="21"/>
      <c r="C181" s="21"/>
      <c r="D181" s="22"/>
      <c r="E181" s="22"/>
      <c r="F181" s="23"/>
      <c r="G181" s="22"/>
      <c r="H181" s="22"/>
      <c r="I181" s="16" t="str">
        <f t="shared" si="16"/>
        <v/>
      </c>
      <c r="J181" s="22"/>
      <c r="K181" s="22"/>
      <c r="L181" s="16" t="str">
        <f t="shared" si="17"/>
        <v/>
      </c>
      <c r="M181" s="22"/>
      <c r="N181" s="22"/>
      <c r="O181" s="16" t="str">
        <f t="shared" si="18"/>
        <v/>
      </c>
      <c r="P181" s="22"/>
      <c r="Q181" s="22"/>
      <c r="R181" s="16" t="str">
        <f t="shared" si="19"/>
        <v/>
      </c>
      <c r="S181" s="22"/>
      <c r="T181" s="22"/>
      <c r="U181" s="16" t="str">
        <f t="shared" si="20"/>
        <v/>
      </c>
      <c r="V181" s="17" t="str">
        <f t="shared" si="21"/>
        <v/>
      </c>
      <c r="W181" s="18" t="str">
        <f>IF(V181="","",IF(V181&gt;=Legend!$C$14,"GREEN",IF(V181&gt;=Legend!$C$15,"YELLOW",IF(V181&gt;=Legend!$C$16,"ORANGE","RED"))))</f>
        <v/>
      </c>
      <c r="X181" s="19" t="str">
        <f>IF(AND(I181&lt;&gt;"",I181&lt;Legend!$C$14),"Accuracy, ","")&amp;IF(AND(L181&lt;&gt;"",L181&lt;Legend!$C$14),"Completeness, ","")&amp;IF(AND(O181&lt;&gt;"",O181&lt;Legend!$C$14),"Consistency, ","")&amp;IF(AND(R181&lt;&gt;"",R181&lt;Legend!$C$14),"Timeliness, ","")&amp;IF(AND(U181&lt;&gt;"",U181&lt;Legend!$C$14),"Validity, ","")</f>
        <v/>
      </c>
      <c r="Y181" s="20" t="str">
        <f t="shared" si="22"/>
        <v/>
      </c>
    </row>
    <row r="182" spans="1:25" ht="15.75" customHeight="1" x14ac:dyDescent="0.25">
      <c r="A182" s="11" t="str">
        <f t="shared" si="23"/>
        <v/>
      </c>
      <c r="B182" s="21"/>
      <c r="C182" s="21"/>
      <c r="D182" s="22"/>
      <c r="E182" s="22"/>
      <c r="F182" s="23"/>
      <c r="G182" s="22"/>
      <c r="H182" s="22"/>
      <c r="I182" s="16" t="str">
        <f t="shared" si="16"/>
        <v/>
      </c>
      <c r="J182" s="22"/>
      <c r="K182" s="22"/>
      <c r="L182" s="16" t="str">
        <f t="shared" si="17"/>
        <v/>
      </c>
      <c r="M182" s="22"/>
      <c r="N182" s="22"/>
      <c r="O182" s="16" t="str">
        <f t="shared" si="18"/>
        <v/>
      </c>
      <c r="P182" s="22"/>
      <c r="Q182" s="22"/>
      <c r="R182" s="16" t="str">
        <f t="shared" si="19"/>
        <v/>
      </c>
      <c r="S182" s="22"/>
      <c r="T182" s="22"/>
      <c r="U182" s="16" t="str">
        <f t="shared" si="20"/>
        <v/>
      </c>
      <c r="V182" s="17" t="str">
        <f t="shared" si="21"/>
        <v/>
      </c>
      <c r="W182" s="18" t="str">
        <f>IF(V182="","",IF(V182&gt;=Legend!$C$14,"GREEN",IF(V182&gt;=Legend!$C$15,"YELLOW",IF(V182&gt;=Legend!$C$16,"ORANGE","RED"))))</f>
        <v/>
      </c>
      <c r="X182" s="19" t="str">
        <f>IF(AND(I182&lt;&gt;"",I182&lt;Legend!$C$14),"Accuracy, ","")&amp;IF(AND(L182&lt;&gt;"",L182&lt;Legend!$C$14),"Completeness, ","")&amp;IF(AND(O182&lt;&gt;"",O182&lt;Legend!$C$14),"Consistency, ","")&amp;IF(AND(R182&lt;&gt;"",R182&lt;Legend!$C$14),"Timeliness, ","")&amp;IF(AND(U182&lt;&gt;"",U182&lt;Legend!$C$14),"Validity, ","")</f>
        <v/>
      </c>
      <c r="Y182" s="20" t="str">
        <f t="shared" si="22"/>
        <v/>
      </c>
    </row>
    <row r="183" spans="1:25" ht="15.75" customHeight="1" x14ac:dyDescent="0.25">
      <c r="A183" s="11" t="str">
        <f t="shared" si="23"/>
        <v/>
      </c>
      <c r="B183" s="21"/>
      <c r="C183" s="21"/>
      <c r="D183" s="22"/>
      <c r="E183" s="22"/>
      <c r="F183" s="23"/>
      <c r="G183" s="22"/>
      <c r="H183" s="22"/>
      <c r="I183" s="16" t="str">
        <f t="shared" si="16"/>
        <v/>
      </c>
      <c r="J183" s="22"/>
      <c r="K183" s="22"/>
      <c r="L183" s="16" t="str">
        <f t="shared" si="17"/>
        <v/>
      </c>
      <c r="M183" s="22"/>
      <c r="N183" s="22"/>
      <c r="O183" s="16" t="str">
        <f t="shared" si="18"/>
        <v/>
      </c>
      <c r="P183" s="22"/>
      <c r="Q183" s="22"/>
      <c r="R183" s="16" t="str">
        <f t="shared" si="19"/>
        <v/>
      </c>
      <c r="S183" s="22"/>
      <c r="T183" s="22"/>
      <c r="U183" s="16" t="str">
        <f t="shared" si="20"/>
        <v/>
      </c>
      <c r="V183" s="17" t="str">
        <f t="shared" si="21"/>
        <v/>
      </c>
      <c r="W183" s="18" t="str">
        <f>IF(V183="","",IF(V183&gt;=Legend!$C$14,"GREEN",IF(V183&gt;=Legend!$C$15,"YELLOW",IF(V183&gt;=Legend!$C$16,"ORANGE","RED"))))</f>
        <v/>
      </c>
      <c r="X183" s="19" t="str">
        <f>IF(AND(I183&lt;&gt;"",I183&lt;Legend!$C$14),"Accuracy, ","")&amp;IF(AND(L183&lt;&gt;"",L183&lt;Legend!$C$14),"Completeness, ","")&amp;IF(AND(O183&lt;&gt;"",O183&lt;Legend!$C$14),"Consistency, ","")&amp;IF(AND(R183&lt;&gt;"",R183&lt;Legend!$C$14),"Timeliness, ","")&amp;IF(AND(U183&lt;&gt;"",U183&lt;Legend!$C$14),"Validity, ","")</f>
        <v/>
      </c>
      <c r="Y183" s="20" t="str">
        <f t="shared" si="22"/>
        <v/>
      </c>
    </row>
    <row r="184" spans="1:25" ht="15.75" customHeight="1" x14ac:dyDescent="0.25">
      <c r="A184" s="11" t="str">
        <f t="shared" si="23"/>
        <v/>
      </c>
      <c r="B184" s="21"/>
      <c r="C184" s="21"/>
      <c r="D184" s="22"/>
      <c r="E184" s="22"/>
      <c r="F184" s="23"/>
      <c r="G184" s="22"/>
      <c r="H184" s="22"/>
      <c r="I184" s="16" t="str">
        <f t="shared" si="16"/>
        <v/>
      </c>
      <c r="J184" s="22"/>
      <c r="K184" s="22"/>
      <c r="L184" s="16" t="str">
        <f t="shared" si="17"/>
        <v/>
      </c>
      <c r="M184" s="22"/>
      <c r="N184" s="22"/>
      <c r="O184" s="16" t="str">
        <f t="shared" si="18"/>
        <v/>
      </c>
      <c r="P184" s="22"/>
      <c r="Q184" s="22"/>
      <c r="R184" s="16" t="str">
        <f t="shared" si="19"/>
        <v/>
      </c>
      <c r="S184" s="22"/>
      <c r="T184" s="22"/>
      <c r="U184" s="16" t="str">
        <f t="shared" si="20"/>
        <v/>
      </c>
      <c r="V184" s="17" t="str">
        <f t="shared" si="21"/>
        <v/>
      </c>
      <c r="W184" s="18" t="str">
        <f>IF(V184="","",IF(V184&gt;=Legend!$C$14,"GREEN",IF(V184&gt;=Legend!$C$15,"YELLOW",IF(V184&gt;=Legend!$C$16,"ORANGE","RED"))))</f>
        <v/>
      </c>
      <c r="X184" s="19" t="str">
        <f>IF(AND(I184&lt;&gt;"",I184&lt;Legend!$C$14),"Accuracy, ","")&amp;IF(AND(L184&lt;&gt;"",L184&lt;Legend!$C$14),"Completeness, ","")&amp;IF(AND(O184&lt;&gt;"",O184&lt;Legend!$C$14),"Consistency, ","")&amp;IF(AND(R184&lt;&gt;"",R184&lt;Legend!$C$14),"Timeliness, ","")&amp;IF(AND(U184&lt;&gt;"",U184&lt;Legend!$C$14),"Validity, ","")</f>
        <v/>
      </c>
      <c r="Y184" s="20" t="str">
        <f t="shared" si="22"/>
        <v/>
      </c>
    </row>
    <row r="185" spans="1:25" ht="15.75" customHeight="1" x14ac:dyDescent="0.25">
      <c r="A185" s="11" t="str">
        <f t="shared" si="23"/>
        <v/>
      </c>
      <c r="B185" s="21"/>
      <c r="C185" s="21"/>
      <c r="D185" s="22"/>
      <c r="E185" s="22"/>
      <c r="F185" s="23"/>
      <c r="G185" s="22"/>
      <c r="H185" s="22"/>
      <c r="I185" s="16" t="str">
        <f t="shared" si="16"/>
        <v/>
      </c>
      <c r="J185" s="22"/>
      <c r="K185" s="22"/>
      <c r="L185" s="16" t="str">
        <f t="shared" si="17"/>
        <v/>
      </c>
      <c r="M185" s="22"/>
      <c r="N185" s="22"/>
      <c r="O185" s="16" t="str">
        <f t="shared" si="18"/>
        <v/>
      </c>
      <c r="P185" s="22"/>
      <c r="Q185" s="22"/>
      <c r="R185" s="16" t="str">
        <f t="shared" si="19"/>
        <v/>
      </c>
      <c r="S185" s="22"/>
      <c r="T185" s="22"/>
      <c r="U185" s="16" t="str">
        <f t="shared" si="20"/>
        <v/>
      </c>
      <c r="V185" s="17" t="str">
        <f t="shared" si="21"/>
        <v/>
      </c>
      <c r="W185" s="18" t="str">
        <f>IF(V185="","",IF(V185&gt;=Legend!$C$14,"GREEN",IF(V185&gt;=Legend!$C$15,"YELLOW",IF(V185&gt;=Legend!$C$16,"ORANGE","RED"))))</f>
        <v/>
      </c>
      <c r="X185" s="19" t="str">
        <f>IF(AND(I185&lt;&gt;"",I185&lt;Legend!$C$14),"Accuracy, ","")&amp;IF(AND(L185&lt;&gt;"",L185&lt;Legend!$C$14),"Completeness, ","")&amp;IF(AND(O185&lt;&gt;"",O185&lt;Legend!$C$14),"Consistency, ","")&amp;IF(AND(R185&lt;&gt;"",R185&lt;Legend!$C$14),"Timeliness, ","")&amp;IF(AND(U185&lt;&gt;"",U185&lt;Legend!$C$14),"Validity, ","")</f>
        <v/>
      </c>
      <c r="Y185" s="20" t="str">
        <f t="shared" si="22"/>
        <v/>
      </c>
    </row>
    <row r="186" spans="1:25" ht="15.75" customHeight="1" x14ac:dyDescent="0.25">
      <c r="A186" s="11" t="str">
        <f t="shared" si="23"/>
        <v/>
      </c>
      <c r="B186" s="21"/>
      <c r="C186" s="21"/>
      <c r="D186" s="22"/>
      <c r="E186" s="22"/>
      <c r="F186" s="23"/>
      <c r="G186" s="22"/>
      <c r="H186" s="22"/>
      <c r="I186" s="16" t="str">
        <f t="shared" si="16"/>
        <v/>
      </c>
      <c r="J186" s="22"/>
      <c r="K186" s="22"/>
      <c r="L186" s="16" t="str">
        <f t="shared" si="17"/>
        <v/>
      </c>
      <c r="M186" s="22"/>
      <c r="N186" s="22"/>
      <c r="O186" s="16" t="str">
        <f t="shared" si="18"/>
        <v/>
      </c>
      <c r="P186" s="22"/>
      <c r="Q186" s="22"/>
      <c r="R186" s="16" t="str">
        <f t="shared" si="19"/>
        <v/>
      </c>
      <c r="S186" s="22"/>
      <c r="T186" s="22"/>
      <c r="U186" s="16" t="str">
        <f t="shared" si="20"/>
        <v/>
      </c>
      <c r="V186" s="17" t="str">
        <f t="shared" si="21"/>
        <v/>
      </c>
      <c r="W186" s="18" t="str">
        <f>IF(V186="","",IF(V186&gt;=Legend!$C$14,"GREEN",IF(V186&gt;=Legend!$C$15,"YELLOW",IF(V186&gt;=Legend!$C$16,"ORANGE","RED"))))</f>
        <v/>
      </c>
      <c r="X186" s="19" t="str">
        <f>IF(AND(I186&lt;&gt;"",I186&lt;Legend!$C$14),"Accuracy, ","")&amp;IF(AND(L186&lt;&gt;"",L186&lt;Legend!$C$14),"Completeness, ","")&amp;IF(AND(O186&lt;&gt;"",O186&lt;Legend!$C$14),"Consistency, ","")&amp;IF(AND(R186&lt;&gt;"",R186&lt;Legend!$C$14),"Timeliness, ","")&amp;IF(AND(U186&lt;&gt;"",U186&lt;Legend!$C$14),"Validity, ","")</f>
        <v/>
      </c>
      <c r="Y186" s="20" t="str">
        <f t="shared" si="22"/>
        <v/>
      </c>
    </row>
    <row r="187" spans="1:25" ht="15.75" customHeight="1" x14ac:dyDescent="0.25">
      <c r="A187" s="11" t="str">
        <f t="shared" si="23"/>
        <v/>
      </c>
      <c r="B187" s="21"/>
      <c r="C187" s="21"/>
      <c r="D187" s="22"/>
      <c r="E187" s="22"/>
      <c r="F187" s="23"/>
      <c r="G187" s="22"/>
      <c r="H187" s="22"/>
      <c r="I187" s="16" t="str">
        <f t="shared" si="16"/>
        <v/>
      </c>
      <c r="J187" s="22"/>
      <c r="K187" s="22"/>
      <c r="L187" s="16" t="str">
        <f t="shared" si="17"/>
        <v/>
      </c>
      <c r="M187" s="22"/>
      <c r="N187" s="22"/>
      <c r="O187" s="16" t="str">
        <f t="shared" si="18"/>
        <v/>
      </c>
      <c r="P187" s="22"/>
      <c r="Q187" s="22"/>
      <c r="R187" s="16" t="str">
        <f t="shared" si="19"/>
        <v/>
      </c>
      <c r="S187" s="22"/>
      <c r="T187" s="22"/>
      <c r="U187" s="16" t="str">
        <f t="shared" si="20"/>
        <v/>
      </c>
      <c r="V187" s="17" t="str">
        <f t="shared" si="21"/>
        <v/>
      </c>
      <c r="W187" s="18" t="str">
        <f>IF(V187="","",IF(V187&gt;=Legend!$C$14,"GREEN",IF(V187&gt;=Legend!$C$15,"YELLOW",IF(V187&gt;=Legend!$C$16,"ORANGE","RED"))))</f>
        <v/>
      </c>
      <c r="X187" s="19" t="str">
        <f>IF(AND(I187&lt;&gt;"",I187&lt;Legend!$C$14),"Accuracy, ","")&amp;IF(AND(L187&lt;&gt;"",L187&lt;Legend!$C$14),"Completeness, ","")&amp;IF(AND(O187&lt;&gt;"",O187&lt;Legend!$C$14),"Consistency, ","")&amp;IF(AND(R187&lt;&gt;"",R187&lt;Legend!$C$14),"Timeliness, ","")&amp;IF(AND(U187&lt;&gt;"",U187&lt;Legend!$C$14),"Validity, ","")</f>
        <v/>
      </c>
      <c r="Y187" s="20" t="str">
        <f t="shared" si="22"/>
        <v/>
      </c>
    </row>
    <row r="188" spans="1:25" ht="15.75" customHeight="1" x14ac:dyDescent="0.25">
      <c r="A188" s="11" t="str">
        <f t="shared" si="23"/>
        <v/>
      </c>
      <c r="B188" s="21"/>
      <c r="C188" s="21"/>
      <c r="D188" s="22"/>
      <c r="E188" s="22"/>
      <c r="F188" s="23"/>
      <c r="G188" s="22"/>
      <c r="H188" s="22"/>
      <c r="I188" s="16" t="str">
        <f t="shared" si="16"/>
        <v/>
      </c>
      <c r="J188" s="22"/>
      <c r="K188" s="22"/>
      <c r="L188" s="16" t="str">
        <f t="shared" si="17"/>
        <v/>
      </c>
      <c r="M188" s="22"/>
      <c r="N188" s="22"/>
      <c r="O188" s="16" t="str">
        <f t="shared" si="18"/>
        <v/>
      </c>
      <c r="P188" s="22"/>
      <c r="Q188" s="22"/>
      <c r="R188" s="16" t="str">
        <f t="shared" si="19"/>
        <v/>
      </c>
      <c r="S188" s="22"/>
      <c r="T188" s="22"/>
      <c r="U188" s="16" t="str">
        <f t="shared" si="20"/>
        <v/>
      </c>
      <c r="V188" s="17" t="str">
        <f t="shared" si="21"/>
        <v/>
      </c>
      <c r="W188" s="18" t="str">
        <f>IF(V188="","",IF(V188&gt;=Legend!$C$14,"GREEN",IF(V188&gt;=Legend!$C$15,"YELLOW",IF(V188&gt;=Legend!$C$16,"ORANGE","RED"))))</f>
        <v/>
      </c>
      <c r="X188" s="19" t="str">
        <f>IF(AND(I188&lt;&gt;"",I188&lt;Legend!$C$14),"Accuracy, ","")&amp;IF(AND(L188&lt;&gt;"",L188&lt;Legend!$C$14),"Completeness, ","")&amp;IF(AND(O188&lt;&gt;"",O188&lt;Legend!$C$14),"Consistency, ","")&amp;IF(AND(R188&lt;&gt;"",R188&lt;Legend!$C$14),"Timeliness, ","")&amp;IF(AND(U188&lt;&gt;"",U188&lt;Legend!$C$14),"Validity, ","")</f>
        <v/>
      </c>
      <c r="Y188" s="20" t="str">
        <f t="shared" si="22"/>
        <v/>
      </c>
    </row>
    <row r="189" spans="1:25" ht="15.75" customHeight="1" x14ac:dyDescent="0.25">
      <c r="A189" s="11" t="str">
        <f t="shared" si="23"/>
        <v/>
      </c>
      <c r="B189" s="21"/>
      <c r="C189" s="21"/>
      <c r="D189" s="22"/>
      <c r="E189" s="22"/>
      <c r="F189" s="23"/>
      <c r="G189" s="22"/>
      <c r="H189" s="22"/>
      <c r="I189" s="16" t="str">
        <f t="shared" si="16"/>
        <v/>
      </c>
      <c r="J189" s="22"/>
      <c r="K189" s="22"/>
      <c r="L189" s="16" t="str">
        <f t="shared" si="17"/>
        <v/>
      </c>
      <c r="M189" s="22"/>
      <c r="N189" s="22"/>
      <c r="O189" s="16" t="str">
        <f t="shared" si="18"/>
        <v/>
      </c>
      <c r="P189" s="22"/>
      <c r="Q189" s="22"/>
      <c r="R189" s="16" t="str">
        <f t="shared" si="19"/>
        <v/>
      </c>
      <c r="S189" s="22"/>
      <c r="T189" s="22"/>
      <c r="U189" s="16" t="str">
        <f t="shared" si="20"/>
        <v/>
      </c>
      <c r="V189" s="17" t="str">
        <f t="shared" si="21"/>
        <v/>
      </c>
      <c r="W189" s="18" t="str">
        <f>IF(V189="","",IF(V189&gt;=Legend!$C$14,"GREEN",IF(V189&gt;=Legend!$C$15,"YELLOW",IF(V189&gt;=Legend!$C$16,"ORANGE","RED"))))</f>
        <v/>
      </c>
      <c r="X189" s="19" t="str">
        <f>IF(AND(I189&lt;&gt;"",I189&lt;Legend!$C$14),"Accuracy, ","")&amp;IF(AND(L189&lt;&gt;"",L189&lt;Legend!$C$14),"Completeness, ","")&amp;IF(AND(O189&lt;&gt;"",O189&lt;Legend!$C$14),"Consistency, ","")&amp;IF(AND(R189&lt;&gt;"",R189&lt;Legend!$C$14),"Timeliness, ","")&amp;IF(AND(U189&lt;&gt;"",U189&lt;Legend!$C$14),"Validity, ","")</f>
        <v/>
      </c>
      <c r="Y189" s="20" t="str">
        <f t="shared" si="22"/>
        <v/>
      </c>
    </row>
    <row r="190" spans="1:25" ht="15.75" customHeight="1" x14ac:dyDescent="0.25">
      <c r="A190" s="11" t="str">
        <f t="shared" si="23"/>
        <v/>
      </c>
      <c r="B190" s="21"/>
      <c r="C190" s="21"/>
      <c r="D190" s="22"/>
      <c r="E190" s="22"/>
      <c r="F190" s="23"/>
      <c r="G190" s="22"/>
      <c r="H190" s="22"/>
      <c r="I190" s="16" t="str">
        <f t="shared" si="16"/>
        <v/>
      </c>
      <c r="J190" s="22"/>
      <c r="K190" s="22"/>
      <c r="L190" s="16" t="str">
        <f t="shared" si="17"/>
        <v/>
      </c>
      <c r="M190" s="22"/>
      <c r="N190" s="22"/>
      <c r="O190" s="16" t="str">
        <f t="shared" si="18"/>
        <v/>
      </c>
      <c r="P190" s="22"/>
      <c r="Q190" s="22"/>
      <c r="R190" s="16" t="str">
        <f t="shared" si="19"/>
        <v/>
      </c>
      <c r="S190" s="22"/>
      <c r="T190" s="22"/>
      <c r="U190" s="16" t="str">
        <f t="shared" si="20"/>
        <v/>
      </c>
      <c r="V190" s="17" t="str">
        <f t="shared" si="21"/>
        <v/>
      </c>
      <c r="W190" s="18" t="str">
        <f>IF(V190="","",IF(V190&gt;=Legend!$C$14,"GREEN",IF(V190&gt;=Legend!$C$15,"YELLOW",IF(V190&gt;=Legend!$C$16,"ORANGE","RED"))))</f>
        <v/>
      </c>
      <c r="X190" s="19" t="str">
        <f>IF(AND(I190&lt;&gt;"",I190&lt;Legend!$C$14),"Accuracy, ","")&amp;IF(AND(L190&lt;&gt;"",L190&lt;Legend!$C$14),"Completeness, ","")&amp;IF(AND(O190&lt;&gt;"",O190&lt;Legend!$C$14),"Consistency, ","")&amp;IF(AND(R190&lt;&gt;"",R190&lt;Legend!$C$14),"Timeliness, ","")&amp;IF(AND(U190&lt;&gt;"",U190&lt;Legend!$C$14),"Validity, ","")</f>
        <v/>
      </c>
      <c r="Y190" s="20" t="str">
        <f t="shared" si="22"/>
        <v/>
      </c>
    </row>
    <row r="191" spans="1:25" ht="15.75" customHeight="1" x14ac:dyDescent="0.25">
      <c r="A191" s="11" t="str">
        <f t="shared" si="23"/>
        <v/>
      </c>
      <c r="B191" s="21"/>
      <c r="C191" s="21"/>
      <c r="D191" s="22"/>
      <c r="E191" s="22"/>
      <c r="F191" s="23"/>
      <c r="G191" s="22"/>
      <c r="H191" s="22"/>
      <c r="I191" s="16" t="str">
        <f t="shared" si="16"/>
        <v/>
      </c>
      <c r="J191" s="22"/>
      <c r="K191" s="22"/>
      <c r="L191" s="16" t="str">
        <f t="shared" si="17"/>
        <v/>
      </c>
      <c r="M191" s="22"/>
      <c r="N191" s="22"/>
      <c r="O191" s="16" t="str">
        <f t="shared" si="18"/>
        <v/>
      </c>
      <c r="P191" s="22"/>
      <c r="Q191" s="22"/>
      <c r="R191" s="16" t="str">
        <f t="shared" si="19"/>
        <v/>
      </c>
      <c r="S191" s="22"/>
      <c r="T191" s="22"/>
      <c r="U191" s="16" t="str">
        <f t="shared" si="20"/>
        <v/>
      </c>
      <c r="V191" s="17" t="str">
        <f t="shared" si="21"/>
        <v/>
      </c>
      <c r="W191" s="18" t="str">
        <f>IF(V191="","",IF(V191&gt;=Legend!$C$14,"GREEN",IF(V191&gt;=Legend!$C$15,"YELLOW",IF(V191&gt;=Legend!$C$16,"ORANGE","RED"))))</f>
        <v/>
      </c>
      <c r="X191" s="19" t="str">
        <f>IF(AND(I191&lt;&gt;"",I191&lt;Legend!$C$14),"Accuracy, ","")&amp;IF(AND(L191&lt;&gt;"",L191&lt;Legend!$C$14),"Completeness, ","")&amp;IF(AND(O191&lt;&gt;"",O191&lt;Legend!$C$14),"Consistency, ","")&amp;IF(AND(R191&lt;&gt;"",R191&lt;Legend!$C$14),"Timeliness, ","")&amp;IF(AND(U191&lt;&gt;"",U191&lt;Legend!$C$14),"Validity, ","")</f>
        <v/>
      </c>
      <c r="Y191" s="20" t="str">
        <f t="shared" si="22"/>
        <v/>
      </c>
    </row>
    <row r="192" spans="1:25" ht="15.75" customHeight="1" x14ac:dyDescent="0.25">
      <c r="A192" s="11" t="str">
        <f t="shared" si="23"/>
        <v/>
      </c>
      <c r="B192" s="21"/>
      <c r="C192" s="21"/>
      <c r="D192" s="22"/>
      <c r="E192" s="22"/>
      <c r="F192" s="23"/>
      <c r="G192" s="22"/>
      <c r="H192" s="22"/>
      <c r="I192" s="16" t="str">
        <f t="shared" si="16"/>
        <v/>
      </c>
      <c r="J192" s="22"/>
      <c r="K192" s="22"/>
      <c r="L192" s="16" t="str">
        <f t="shared" si="17"/>
        <v/>
      </c>
      <c r="M192" s="22"/>
      <c r="N192" s="22"/>
      <c r="O192" s="16" t="str">
        <f t="shared" si="18"/>
        <v/>
      </c>
      <c r="P192" s="22"/>
      <c r="Q192" s="22"/>
      <c r="R192" s="16" t="str">
        <f t="shared" si="19"/>
        <v/>
      </c>
      <c r="S192" s="22"/>
      <c r="T192" s="22"/>
      <c r="U192" s="16" t="str">
        <f t="shared" si="20"/>
        <v/>
      </c>
      <c r="V192" s="17" t="str">
        <f t="shared" si="21"/>
        <v/>
      </c>
      <c r="W192" s="18" t="str">
        <f>IF(V192="","",IF(V192&gt;=Legend!$C$14,"GREEN",IF(V192&gt;=Legend!$C$15,"YELLOW",IF(V192&gt;=Legend!$C$16,"ORANGE","RED"))))</f>
        <v/>
      </c>
      <c r="X192" s="19" t="str">
        <f>IF(AND(I192&lt;&gt;"",I192&lt;Legend!$C$14),"Accuracy, ","")&amp;IF(AND(L192&lt;&gt;"",L192&lt;Legend!$C$14),"Completeness, ","")&amp;IF(AND(O192&lt;&gt;"",O192&lt;Legend!$C$14),"Consistency, ","")&amp;IF(AND(R192&lt;&gt;"",R192&lt;Legend!$C$14),"Timeliness, ","")&amp;IF(AND(U192&lt;&gt;"",U192&lt;Legend!$C$14),"Validity, ","")</f>
        <v/>
      </c>
      <c r="Y192" s="20" t="str">
        <f t="shared" si="22"/>
        <v/>
      </c>
    </row>
    <row r="193" spans="1:25" ht="15.75" customHeight="1" x14ac:dyDescent="0.25">
      <c r="A193" s="11" t="str">
        <f t="shared" si="23"/>
        <v/>
      </c>
      <c r="B193" s="21"/>
      <c r="C193" s="21"/>
      <c r="D193" s="22"/>
      <c r="E193" s="22"/>
      <c r="F193" s="23"/>
      <c r="G193" s="22"/>
      <c r="H193" s="22"/>
      <c r="I193" s="16" t="str">
        <f t="shared" si="16"/>
        <v/>
      </c>
      <c r="J193" s="22"/>
      <c r="K193" s="22"/>
      <c r="L193" s="16" t="str">
        <f t="shared" si="17"/>
        <v/>
      </c>
      <c r="M193" s="22"/>
      <c r="N193" s="22"/>
      <c r="O193" s="16" t="str">
        <f t="shared" si="18"/>
        <v/>
      </c>
      <c r="P193" s="22"/>
      <c r="Q193" s="22"/>
      <c r="R193" s="16" t="str">
        <f t="shared" si="19"/>
        <v/>
      </c>
      <c r="S193" s="22"/>
      <c r="T193" s="22"/>
      <c r="U193" s="16" t="str">
        <f t="shared" si="20"/>
        <v/>
      </c>
      <c r="V193" s="17" t="str">
        <f t="shared" si="21"/>
        <v/>
      </c>
      <c r="W193" s="18" t="str">
        <f>IF(V193="","",IF(V193&gt;=Legend!$C$14,"GREEN",IF(V193&gt;=Legend!$C$15,"YELLOW",IF(V193&gt;=Legend!$C$16,"ORANGE","RED"))))</f>
        <v/>
      </c>
      <c r="X193" s="19" t="str">
        <f>IF(AND(I193&lt;&gt;"",I193&lt;Legend!$C$14),"Accuracy, ","")&amp;IF(AND(L193&lt;&gt;"",L193&lt;Legend!$C$14),"Completeness, ","")&amp;IF(AND(O193&lt;&gt;"",O193&lt;Legend!$C$14),"Consistency, ","")&amp;IF(AND(R193&lt;&gt;"",R193&lt;Legend!$C$14),"Timeliness, ","")&amp;IF(AND(U193&lt;&gt;"",U193&lt;Legend!$C$14),"Validity, ","")</f>
        <v/>
      </c>
      <c r="Y193" s="20" t="str">
        <f t="shared" si="22"/>
        <v/>
      </c>
    </row>
    <row r="194" spans="1:25" ht="15.75" customHeight="1" x14ac:dyDescent="0.25">
      <c r="A194" s="11" t="str">
        <f t="shared" si="23"/>
        <v/>
      </c>
      <c r="B194" s="21"/>
      <c r="C194" s="21"/>
      <c r="D194" s="22"/>
      <c r="E194" s="22"/>
      <c r="F194" s="23"/>
      <c r="G194" s="22"/>
      <c r="H194" s="22"/>
      <c r="I194" s="16" t="str">
        <f t="shared" si="16"/>
        <v/>
      </c>
      <c r="J194" s="22"/>
      <c r="K194" s="22"/>
      <c r="L194" s="16" t="str">
        <f t="shared" si="17"/>
        <v/>
      </c>
      <c r="M194" s="22"/>
      <c r="N194" s="22"/>
      <c r="O194" s="16" t="str">
        <f t="shared" si="18"/>
        <v/>
      </c>
      <c r="P194" s="22"/>
      <c r="Q194" s="22"/>
      <c r="R194" s="16" t="str">
        <f t="shared" si="19"/>
        <v/>
      </c>
      <c r="S194" s="22"/>
      <c r="T194" s="22"/>
      <c r="U194" s="16" t="str">
        <f t="shared" si="20"/>
        <v/>
      </c>
      <c r="V194" s="17" t="str">
        <f t="shared" si="21"/>
        <v/>
      </c>
      <c r="W194" s="18" t="str">
        <f>IF(V194="","",IF(V194&gt;=Legend!$C$14,"GREEN",IF(V194&gt;=Legend!$C$15,"YELLOW",IF(V194&gt;=Legend!$C$16,"ORANGE","RED"))))</f>
        <v/>
      </c>
      <c r="X194" s="19" t="str">
        <f>IF(AND(I194&lt;&gt;"",I194&lt;Legend!$C$14),"Accuracy, ","")&amp;IF(AND(L194&lt;&gt;"",L194&lt;Legend!$C$14),"Completeness, ","")&amp;IF(AND(O194&lt;&gt;"",O194&lt;Legend!$C$14),"Consistency, ","")&amp;IF(AND(R194&lt;&gt;"",R194&lt;Legend!$C$14),"Timeliness, ","")&amp;IF(AND(U194&lt;&gt;"",U194&lt;Legend!$C$14),"Validity, ","")</f>
        <v/>
      </c>
      <c r="Y194" s="20" t="str">
        <f t="shared" si="22"/>
        <v/>
      </c>
    </row>
    <row r="195" spans="1:25" ht="15.75" customHeight="1" x14ac:dyDescent="0.25">
      <c r="A195" s="11" t="str">
        <f t="shared" si="23"/>
        <v/>
      </c>
      <c r="B195" s="21"/>
      <c r="C195" s="21"/>
      <c r="D195" s="22"/>
      <c r="E195" s="22"/>
      <c r="F195" s="23"/>
      <c r="G195" s="22"/>
      <c r="H195" s="22"/>
      <c r="I195" s="16" t="str">
        <f t="shared" si="16"/>
        <v/>
      </c>
      <c r="J195" s="22"/>
      <c r="K195" s="22"/>
      <c r="L195" s="16" t="str">
        <f t="shared" si="17"/>
        <v/>
      </c>
      <c r="M195" s="22"/>
      <c r="N195" s="22"/>
      <c r="O195" s="16" t="str">
        <f t="shared" si="18"/>
        <v/>
      </c>
      <c r="P195" s="22"/>
      <c r="Q195" s="22"/>
      <c r="R195" s="16" t="str">
        <f t="shared" si="19"/>
        <v/>
      </c>
      <c r="S195" s="22"/>
      <c r="T195" s="22"/>
      <c r="U195" s="16" t="str">
        <f t="shared" si="20"/>
        <v/>
      </c>
      <c r="V195" s="17" t="str">
        <f t="shared" si="21"/>
        <v/>
      </c>
      <c r="W195" s="18" t="str">
        <f>IF(V195="","",IF(V195&gt;=Legend!$C$14,"GREEN",IF(V195&gt;=Legend!$C$15,"YELLOW",IF(V195&gt;=Legend!$C$16,"ORANGE","RED"))))</f>
        <v/>
      </c>
      <c r="X195" s="19" t="str">
        <f>IF(AND(I195&lt;&gt;"",I195&lt;Legend!$C$14),"Accuracy, ","")&amp;IF(AND(L195&lt;&gt;"",L195&lt;Legend!$C$14),"Completeness, ","")&amp;IF(AND(O195&lt;&gt;"",O195&lt;Legend!$C$14),"Consistency, ","")&amp;IF(AND(R195&lt;&gt;"",R195&lt;Legend!$C$14),"Timeliness, ","")&amp;IF(AND(U195&lt;&gt;"",U195&lt;Legend!$C$14),"Validity, ","")</f>
        <v/>
      </c>
      <c r="Y195" s="20" t="str">
        <f t="shared" si="22"/>
        <v/>
      </c>
    </row>
    <row r="196" spans="1:25" ht="15.75" customHeight="1" x14ac:dyDescent="0.25">
      <c r="A196" s="11" t="str">
        <f t="shared" si="23"/>
        <v/>
      </c>
      <c r="B196" s="21"/>
      <c r="C196" s="21"/>
      <c r="D196" s="22"/>
      <c r="E196" s="22"/>
      <c r="F196" s="23"/>
      <c r="G196" s="22"/>
      <c r="H196" s="22"/>
      <c r="I196" s="16" t="str">
        <f t="shared" si="16"/>
        <v/>
      </c>
      <c r="J196" s="22"/>
      <c r="K196" s="22"/>
      <c r="L196" s="16" t="str">
        <f t="shared" si="17"/>
        <v/>
      </c>
      <c r="M196" s="22"/>
      <c r="N196" s="22"/>
      <c r="O196" s="16" t="str">
        <f t="shared" si="18"/>
        <v/>
      </c>
      <c r="P196" s="22"/>
      <c r="Q196" s="22"/>
      <c r="R196" s="16" t="str">
        <f t="shared" si="19"/>
        <v/>
      </c>
      <c r="S196" s="22"/>
      <c r="T196" s="22"/>
      <c r="U196" s="16" t="str">
        <f t="shared" si="20"/>
        <v/>
      </c>
      <c r="V196" s="17" t="str">
        <f t="shared" si="21"/>
        <v/>
      </c>
      <c r="W196" s="18" t="str">
        <f>IF(V196="","",IF(V196&gt;=Legend!$C$14,"GREEN",IF(V196&gt;=Legend!$C$15,"YELLOW",IF(V196&gt;=Legend!$C$16,"ORANGE","RED"))))</f>
        <v/>
      </c>
      <c r="X196" s="19" t="str">
        <f>IF(AND(I196&lt;&gt;"",I196&lt;Legend!$C$14),"Accuracy, ","")&amp;IF(AND(L196&lt;&gt;"",L196&lt;Legend!$C$14),"Completeness, ","")&amp;IF(AND(O196&lt;&gt;"",O196&lt;Legend!$C$14),"Consistency, ","")&amp;IF(AND(R196&lt;&gt;"",R196&lt;Legend!$C$14),"Timeliness, ","")&amp;IF(AND(U196&lt;&gt;"",U196&lt;Legend!$C$14),"Validity, ","")</f>
        <v/>
      </c>
      <c r="Y196" s="20" t="str">
        <f t="shared" si="22"/>
        <v/>
      </c>
    </row>
    <row r="197" spans="1:25" ht="15.75" customHeight="1" x14ac:dyDescent="0.25">
      <c r="A197" s="11" t="str">
        <f t="shared" si="23"/>
        <v/>
      </c>
      <c r="B197" s="21"/>
      <c r="C197" s="21"/>
      <c r="D197" s="22"/>
      <c r="E197" s="22"/>
      <c r="F197" s="23"/>
      <c r="G197" s="22"/>
      <c r="H197" s="22"/>
      <c r="I197" s="16" t="str">
        <f>IFERROR(H197/G197,"")</f>
        <v/>
      </c>
      <c r="J197" s="22"/>
      <c r="K197" s="22"/>
      <c r="L197" s="16" t="str">
        <f>IFERROR(K197/J197,"")</f>
        <v/>
      </c>
      <c r="M197" s="22"/>
      <c r="N197" s="22"/>
      <c r="O197" s="16" t="str">
        <f>IFERROR(N197/M197,"")</f>
        <v/>
      </c>
      <c r="P197" s="22"/>
      <c r="Q197" s="22"/>
      <c r="R197" s="16" t="str">
        <f>IFERROR(Q197/P197,"")</f>
        <v/>
      </c>
      <c r="S197" s="22"/>
      <c r="T197" s="22"/>
      <c r="U197" s="16" t="str">
        <f>IFERROR(T197/S197,"")</f>
        <v/>
      </c>
      <c r="V197" s="17" t="str">
        <f>IFERROR(AVERAGE(I197,L197,O197,R197,U197),"")</f>
        <v/>
      </c>
      <c r="W197" s="18" t="str">
        <f>IF(V197="","",IF(V197&gt;=Legend!$C$14,"GREEN",IF(V197&gt;=Legend!$C$15,"YELLOW",IF(V197&gt;=Legend!$C$16,"ORANGE","RED"))))</f>
        <v/>
      </c>
      <c r="X197" s="19" t="str">
        <f>IF(AND(I197&lt;&gt;"",I197&lt;Legend!$C$14),"Accuracy, ","")&amp;IF(AND(L197&lt;&gt;"",L197&lt;Legend!$C$14),"Completeness, ","")&amp;IF(AND(O197&lt;&gt;"",O197&lt;Legend!$C$14),"Consistency, ","")&amp;IF(AND(R197&lt;&gt;"",R197&lt;Legend!$C$14),"Timeliness, ","")&amp;IF(AND(U197&lt;&gt;"",U197&lt;Legend!$C$14),"Validity, ","")</f>
        <v/>
      </c>
      <c r="Y197" s="20" t="str">
        <f>IF(V197="","",IF(LEN(X197)=0,"All dimensions on target",LEFT(X197,LEN(X197)-2)))</f>
        <v/>
      </c>
    </row>
    <row r="198" spans="1:25" ht="15.75" customHeight="1" x14ac:dyDescent="0.25">
      <c r="A198" s="11" t="str">
        <f>IF($B198="","",""&amp;"AUD-"&amp;TEXT(ROW()-4,"000"))</f>
        <v/>
      </c>
      <c r="B198" s="21"/>
      <c r="C198" s="21"/>
      <c r="D198" s="22"/>
      <c r="E198" s="22"/>
      <c r="F198" s="23"/>
      <c r="G198" s="22"/>
      <c r="H198" s="22"/>
      <c r="I198" s="16" t="str">
        <f>IFERROR(H198/G198,"")</f>
        <v/>
      </c>
      <c r="J198" s="22"/>
      <c r="K198" s="22"/>
      <c r="L198" s="16" t="str">
        <f>IFERROR(K198/J198,"")</f>
        <v/>
      </c>
      <c r="M198" s="22"/>
      <c r="N198" s="22"/>
      <c r="O198" s="16" t="str">
        <f>IFERROR(N198/M198,"")</f>
        <v/>
      </c>
      <c r="P198" s="22"/>
      <c r="Q198" s="22"/>
      <c r="R198" s="16" t="str">
        <f>IFERROR(Q198/P198,"")</f>
        <v/>
      </c>
      <c r="S198" s="22"/>
      <c r="T198" s="22"/>
      <c r="U198" s="16" t="str">
        <f>IFERROR(T198/S198,"")</f>
        <v/>
      </c>
      <c r="V198" s="17" t="str">
        <f>IFERROR(AVERAGE(I198,L198,O198,R198,U198),"")</f>
        <v/>
      </c>
      <c r="W198" s="18" t="str">
        <f>IF(V198="","",IF(V198&gt;=Legend!$C$14,"GREEN",IF(V198&gt;=Legend!$C$15,"YELLOW",IF(V198&gt;=Legend!$C$16,"ORANGE","RED"))))</f>
        <v/>
      </c>
      <c r="X198" s="19" t="str">
        <f>IF(AND(I198&lt;&gt;"",I198&lt;Legend!$C$14),"Accuracy, ","")&amp;IF(AND(L198&lt;&gt;"",L198&lt;Legend!$C$14),"Completeness, ","")&amp;IF(AND(O198&lt;&gt;"",O198&lt;Legend!$C$14),"Consistency, ","")&amp;IF(AND(R198&lt;&gt;"",R198&lt;Legend!$C$14),"Timeliness, ","")&amp;IF(AND(U198&lt;&gt;"",U198&lt;Legend!$C$14),"Validity, ","")</f>
        <v/>
      </c>
      <c r="Y198" s="20" t="str">
        <f>IF(V198="","",IF(LEN(X198)=0,"All dimensions on target",LEFT(X198,LEN(X198)-2)))</f>
        <v/>
      </c>
    </row>
    <row r="199" spans="1:25" ht="15.75" customHeight="1" x14ac:dyDescent="0.25">
      <c r="A199" s="11" t="str">
        <f>IF($B199="","",""&amp;"AUD-"&amp;TEXT(ROW()-4,"000"))</f>
        <v/>
      </c>
      <c r="B199" s="21"/>
      <c r="C199" s="21"/>
      <c r="D199" s="22"/>
      <c r="E199" s="22"/>
      <c r="F199" s="23"/>
      <c r="G199" s="22"/>
      <c r="H199" s="22"/>
      <c r="I199" s="16" t="str">
        <f>IFERROR(H199/G199,"")</f>
        <v/>
      </c>
      <c r="J199" s="22"/>
      <c r="K199" s="22"/>
      <c r="L199" s="16" t="str">
        <f>IFERROR(K199/J199,"")</f>
        <v/>
      </c>
      <c r="M199" s="22"/>
      <c r="N199" s="22"/>
      <c r="O199" s="16" t="str">
        <f>IFERROR(N199/M199,"")</f>
        <v/>
      </c>
      <c r="P199" s="22"/>
      <c r="Q199" s="22"/>
      <c r="R199" s="16" t="str">
        <f>IFERROR(Q199/P199,"")</f>
        <v/>
      </c>
      <c r="S199" s="22"/>
      <c r="T199" s="22"/>
      <c r="U199" s="16" t="str">
        <f>IFERROR(T199/S199,"")</f>
        <v/>
      </c>
      <c r="V199" s="17" t="str">
        <f>IFERROR(AVERAGE(I199,L199,O199,R199,U199),"")</f>
        <v/>
      </c>
      <c r="W199" s="18" t="str">
        <f>IF(V199="","",IF(V199&gt;=Legend!$C$14,"GREEN",IF(V199&gt;=Legend!$C$15,"YELLOW",IF(V199&gt;=Legend!$C$16,"ORANGE","RED"))))</f>
        <v/>
      </c>
      <c r="X199" s="19" t="str">
        <f>IF(AND(I199&lt;&gt;"",I199&lt;Legend!$C$14),"Accuracy, ","")&amp;IF(AND(L199&lt;&gt;"",L199&lt;Legend!$C$14),"Completeness, ","")&amp;IF(AND(O199&lt;&gt;"",O199&lt;Legend!$C$14),"Consistency, ","")&amp;IF(AND(R199&lt;&gt;"",R199&lt;Legend!$C$14),"Timeliness, ","")&amp;IF(AND(U199&lt;&gt;"",U199&lt;Legend!$C$14),"Validity, ","")</f>
        <v/>
      </c>
      <c r="Y199" s="20" t="str">
        <f>IF(V199="","",IF(LEN(X199)=0,"All dimensions on target",LEFT(X199,LEN(X199)-2)))</f>
        <v/>
      </c>
    </row>
    <row r="200" spans="1:25" ht="15.75" customHeight="1" x14ac:dyDescent="0.25">
      <c r="A200" s="11" t="str">
        <f>IF($B200="","",""&amp;"AUD-"&amp;TEXT(ROW()-4,"000"))</f>
        <v/>
      </c>
      <c r="B200" s="21"/>
      <c r="C200" s="21"/>
      <c r="D200" s="22"/>
      <c r="E200" s="22"/>
      <c r="F200" s="23"/>
      <c r="G200" s="22"/>
      <c r="H200" s="22"/>
      <c r="I200" s="16" t="str">
        <f>IFERROR(H200/G200,"")</f>
        <v/>
      </c>
      <c r="J200" s="22"/>
      <c r="K200" s="22"/>
      <c r="L200" s="16" t="str">
        <f>IFERROR(K200/J200,"")</f>
        <v/>
      </c>
      <c r="M200" s="22"/>
      <c r="N200" s="22"/>
      <c r="O200" s="16" t="str">
        <f>IFERROR(N200/M200,"")</f>
        <v/>
      </c>
      <c r="P200" s="22"/>
      <c r="Q200" s="22"/>
      <c r="R200" s="16" t="str">
        <f>IFERROR(Q200/P200,"")</f>
        <v/>
      </c>
      <c r="S200" s="22"/>
      <c r="T200" s="22"/>
      <c r="U200" s="16" t="str">
        <f>IFERROR(T200/S200,"")</f>
        <v/>
      </c>
      <c r="V200" s="17" t="str">
        <f>IFERROR(AVERAGE(I200,L200,O200,R200,U200),"")</f>
        <v/>
      </c>
      <c r="W200" s="18" t="str">
        <f>IF(V200="","",IF(V200&gt;=Legend!$C$14,"GREEN",IF(V200&gt;=Legend!$C$15,"YELLOW",IF(V200&gt;=Legend!$C$16,"ORANGE","RED"))))</f>
        <v/>
      </c>
      <c r="X200" s="19" t="str">
        <f>IF(AND(I200&lt;&gt;"",I200&lt;Legend!$C$14),"Accuracy, ","")&amp;IF(AND(L200&lt;&gt;"",L200&lt;Legend!$C$14),"Completeness, ","")&amp;IF(AND(O200&lt;&gt;"",O200&lt;Legend!$C$14),"Consistency, ","")&amp;IF(AND(R200&lt;&gt;"",R200&lt;Legend!$C$14),"Timeliness, ","")&amp;IF(AND(U200&lt;&gt;"",U200&lt;Legend!$C$14),"Validity, ","")</f>
        <v/>
      </c>
      <c r="Y200" s="20" t="str">
        <f>IF(V200="","",IF(LEN(X200)=0,"All dimensions on target",LEFT(X200,LEN(X200)-2)))</f>
        <v/>
      </c>
    </row>
  </sheetData>
  <mergeCells count="17">
    <mergeCell ref="Y3:Y4"/>
    <mergeCell ref="A1:Y1"/>
    <mergeCell ref="A2:Y2"/>
    <mergeCell ref="G3:I3"/>
    <mergeCell ref="J3:L3"/>
    <mergeCell ref="M3:O3"/>
    <mergeCell ref="P3:R3"/>
    <mergeCell ref="S3:U3"/>
    <mergeCell ref="A3:A4"/>
    <mergeCell ref="B3:B4"/>
    <mergeCell ref="C3:C4"/>
    <mergeCell ref="D3:D4"/>
    <mergeCell ref="E3:E4"/>
    <mergeCell ref="F3:F4"/>
    <mergeCell ref="V3:V4"/>
    <mergeCell ref="W3:W4"/>
    <mergeCell ref="X3:X4"/>
  </mergeCells>
  <conditionalFormatting sqref="W5:W200">
    <cfRule type="expression" dxfId="3" priority="26">
      <formula>W5="GREEN"</formula>
    </cfRule>
    <cfRule type="expression" dxfId="2" priority="27">
      <formula>W5="YELLOW"</formula>
    </cfRule>
    <cfRule type="expression" dxfId="1" priority="28">
      <formula>W5="ORANGE"</formula>
    </cfRule>
    <cfRule type="expression" dxfId="0" priority="29">
      <formula>W5="RED"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AND(I5&lt;&gt;"",I5&gt;=Legend!$C$14)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3" id="{00000000-000E-0000-0100-000003000000}">
            <xm:f>AND(I5&lt;&gt;"",I5&gt;=Legend!$C$15,I5&lt;Legend!$C$14)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4" id="{00000000-000E-0000-0100-000004000000}">
            <xm:f>AND(I5&lt;&gt;"",I5&gt;=Legend!$C$16,I5&lt;Legend!$C$15)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5" id="{00000000-000E-0000-0100-000005000000}">
            <xm:f>AND(I5&lt;&gt;"",I5&lt;Legend!$C$16)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I5:I200</xm:sqref>
        </x14:conditionalFormatting>
        <x14:conditionalFormatting xmlns:xm="http://schemas.microsoft.com/office/excel/2006/main">
          <x14:cfRule type="expression" priority="6" id="{00000000-000E-0000-0100-000006000000}">
            <xm:f>AND(L5&lt;&gt;"",L5&gt;=Legend!$C$14)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7" id="{00000000-000E-0000-0100-000007000000}">
            <xm:f>AND(L5&lt;&gt;"",L5&gt;=Legend!$C$15,L5&lt;Legend!$C$14)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8" id="{00000000-000E-0000-0100-000008000000}">
            <xm:f>AND(L5&lt;&gt;"",L5&gt;=Legend!$C$16,L5&lt;Legend!$C$15)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9" id="{00000000-000E-0000-0100-000009000000}">
            <xm:f>AND(L5&lt;&gt;"",L5&lt;Legend!$C$16)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L5:L200</xm:sqref>
        </x14:conditionalFormatting>
        <x14:conditionalFormatting xmlns:xm="http://schemas.microsoft.com/office/excel/2006/main">
          <x14:cfRule type="expression" priority="10" id="{00000000-000E-0000-0100-00000A000000}">
            <xm:f>AND(O5&lt;&gt;"",O5&gt;=Legend!$C$14)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11" id="{00000000-000E-0000-0100-00000B000000}">
            <xm:f>AND(O5&lt;&gt;"",O5&gt;=Legend!$C$15,O5&lt;Legend!$C$14)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12" id="{00000000-000E-0000-0100-00000C000000}">
            <xm:f>AND(O5&lt;&gt;"",O5&gt;=Legend!$C$16,O5&lt;Legend!$C$15)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13" id="{00000000-000E-0000-0100-00000D000000}">
            <xm:f>AND(O5&lt;&gt;"",O5&lt;Legend!$C$16)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O5:O200</xm:sqref>
        </x14:conditionalFormatting>
        <x14:conditionalFormatting xmlns:xm="http://schemas.microsoft.com/office/excel/2006/main">
          <x14:cfRule type="expression" priority="14" id="{00000000-000E-0000-0100-00000E000000}">
            <xm:f>AND(R5&lt;&gt;"",R5&gt;=Legend!$C$14)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15" id="{00000000-000E-0000-0100-00000F000000}">
            <xm:f>AND(R5&lt;&gt;"",R5&gt;=Legend!$C$15,R5&lt;Legend!$C$14)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16" id="{00000000-000E-0000-0100-000010000000}">
            <xm:f>AND(R5&lt;&gt;"",R5&gt;=Legend!$C$16,R5&lt;Legend!$C$15)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17" id="{00000000-000E-0000-0100-000011000000}">
            <xm:f>AND(R5&lt;&gt;"",R5&lt;Legend!$C$16)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R5:R200</xm:sqref>
        </x14:conditionalFormatting>
        <x14:conditionalFormatting xmlns:xm="http://schemas.microsoft.com/office/excel/2006/main">
          <x14:cfRule type="expression" priority="18" id="{00000000-000E-0000-0100-000012000000}">
            <xm:f>AND(U5&lt;&gt;"",U5&gt;=Legend!$C$14)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1E7B34"/>
                </patternFill>
              </fill>
            </x14:dxf>
          </x14:cfRule>
          <x14:cfRule type="expression" priority="19" id="{00000000-000E-0000-0100-000013000000}">
            <xm:f>AND(U5&lt;&gt;"",U5&gt;=Legend!$C$15,U5&lt;Legend!$C$14)</xm:f>
            <x14:dxf>
              <font>
                <b/>
                <sz val="10"/>
                <color rgb="FF000000"/>
                <name val="Arial"/>
                <charset val="1"/>
                <scheme val="none"/>
              </font>
              <fill>
                <patternFill patternType="solid">
                  <bgColor rgb="FFFFC000"/>
                </patternFill>
              </fill>
            </x14:dxf>
          </x14:cfRule>
          <x14:cfRule type="expression" priority="20" id="{00000000-000E-0000-0100-000014000000}">
            <xm:f>AND(U5&lt;&gt;"",U5&gt;=Legend!$C$16,U5&lt;Legend!$C$15)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E36C09"/>
                </patternFill>
              </fill>
            </x14:dxf>
          </x14:cfRule>
          <x14:cfRule type="expression" priority="21" id="{00000000-000E-0000-0100-000015000000}">
            <xm:f>AND(U5&lt;&gt;"",U5&lt;Legend!$C$16)</xm:f>
            <x14:dxf>
              <font>
                <b/>
                <sz val="10"/>
                <color rgb="FFFFFFFF"/>
                <name val="Arial"/>
                <charset val="1"/>
                <scheme val="none"/>
              </font>
              <fill>
                <patternFill patternType="solid">
                  <bgColor rgb="FFC00000"/>
                </patternFill>
              </fill>
            </x14:dxf>
          </x14:cfRule>
          <xm:sqref>U5:V200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Month" error="Please choose a month from the list (or add it to the Legend sheet first)." xr:uid="{00000000-0002-0000-0100-000000000000}">
          <x14:formula1>
            <xm:f>Legend!$B$22:$B$34</xm:f>
          </x14:formula1>
          <xm:sqref>C5:C200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showGridLines="0" workbookViewId="0">
      <pane ySplit="2" topLeftCell="A9" activePane="bottomLeft" state="frozen"/>
      <selection pane="bottomLeft" activeCell="A3" sqref="A3"/>
    </sheetView>
  </sheetViews>
  <sheetFormatPr defaultColWidth="8.7109375" defaultRowHeight="15" x14ac:dyDescent="0.25"/>
  <cols>
    <col min="1" max="1" width="22" customWidth="1"/>
    <col min="2" max="2" width="71.42578125" customWidth="1"/>
    <col min="3" max="5" width="16" customWidth="1"/>
  </cols>
  <sheetData>
    <row r="1" spans="1:5" ht="31.5" customHeight="1" x14ac:dyDescent="0.25">
      <c r="A1" s="33" t="s">
        <v>50</v>
      </c>
      <c r="B1" s="33"/>
      <c r="C1" s="33"/>
      <c r="D1" s="33"/>
      <c r="E1" s="33"/>
    </row>
    <row r="2" spans="1:5" x14ac:dyDescent="0.25">
      <c r="A2" s="33"/>
      <c r="B2" s="33"/>
      <c r="C2" s="33"/>
      <c r="D2" s="33"/>
      <c r="E2" s="33"/>
    </row>
    <row r="4" spans="1:5" ht="19.5" customHeight="1" x14ac:dyDescent="0.25">
      <c r="A4" s="30" t="s">
        <v>51</v>
      </c>
      <c r="B4" s="30"/>
      <c r="C4" s="30"/>
      <c r="D4" s="30"/>
      <c r="E4" s="30"/>
    </row>
    <row r="5" spans="1:5" ht="30" customHeight="1" x14ac:dyDescent="0.25">
      <c r="A5" s="5" t="s">
        <v>7</v>
      </c>
      <c r="B5" s="31" t="s">
        <v>12</v>
      </c>
      <c r="C5" s="31"/>
      <c r="D5" s="31"/>
      <c r="E5" s="31"/>
    </row>
    <row r="6" spans="1:5" ht="33.75" customHeight="1" x14ac:dyDescent="0.25">
      <c r="A6" s="6" t="s">
        <v>13</v>
      </c>
      <c r="B6" s="39" t="s">
        <v>14</v>
      </c>
      <c r="C6" s="39"/>
      <c r="D6" s="39"/>
      <c r="E6" s="39"/>
    </row>
    <row r="7" spans="1:5" ht="33.75" customHeight="1" x14ac:dyDescent="0.25">
      <c r="A7" s="6" t="s">
        <v>15</v>
      </c>
      <c r="B7" s="39" t="s">
        <v>16</v>
      </c>
      <c r="C7" s="39"/>
      <c r="D7" s="39"/>
      <c r="E7" s="39"/>
    </row>
    <row r="8" spans="1:5" ht="33.75" customHeight="1" x14ac:dyDescent="0.25">
      <c r="A8" s="6" t="s">
        <v>17</v>
      </c>
      <c r="B8" s="39" t="s">
        <v>18</v>
      </c>
      <c r="C8" s="39"/>
      <c r="D8" s="39"/>
      <c r="E8" s="39"/>
    </row>
    <row r="9" spans="1:5" ht="33.75" customHeight="1" x14ac:dyDescent="0.25">
      <c r="A9" s="6" t="s">
        <v>19</v>
      </c>
      <c r="B9" s="39" t="s">
        <v>20</v>
      </c>
      <c r="C9" s="39"/>
      <c r="D9" s="39"/>
      <c r="E9" s="39"/>
    </row>
    <row r="10" spans="1:5" ht="33.75" customHeight="1" x14ac:dyDescent="0.25">
      <c r="A10" s="6" t="s">
        <v>21</v>
      </c>
      <c r="B10" s="39" t="s">
        <v>22</v>
      </c>
      <c r="C10" s="39"/>
      <c r="D10" s="39"/>
      <c r="E10" s="39"/>
    </row>
    <row r="12" spans="1:5" ht="19.5" customHeight="1" x14ac:dyDescent="0.25">
      <c r="A12" s="30" t="s">
        <v>52</v>
      </c>
      <c r="B12" s="30"/>
      <c r="C12" s="30"/>
      <c r="D12" s="30"/>
      <c r="E12" s="30"/>
    </row>
    <row r="13" spans="1:5" x14ac:dyDescent="0.25">
      <c r="A13" s="5" t="s">
        <v>11</v>
      </c>
      <c r="B13" s="5" t="s">
        <v>53</v>
      </c>
      <c r="C13" s="5" t="s">
        <v>54</v>
      </c>
    </row>
    <row r="14" spans="1:5" ht="19.5" customHeight="1" x14ac:dyDescent="0.25">
      <c r="A14" s="1" t="s">
        <v>55</v>
      </c>
      <c r="B14" s="7" t="s">
        <v>56</v>
      </c>
      <c r="C14" s="8">
        <v>0.85</v>
      </c>
    </row>
    <row r="15" spans="1:5" ht="19.5" customHeight="1" x14ac:dyDescent="0.25">
      <c r="A15" s="2" t="s">
        <v>57</v>
      </c>
      <c r="B15" s="7" t="s">
        <v>58</v>
      </c>
      <c r="C15" s="8">
        <v>0.7</v>
      </c>
    </row>
    <row r="16" spans="1:5" ht="19.5" customHeight="1" x14ac:dyDescent="0.25">
      <c r="A16" s="3" t="s">
        <v>59</v>
      </c>
      <c r="B16" s="7" t="s">
        <v>60</v>
      </c>
      <c r="C16" s="8">
        <v>0.55000000000000004</v>
      </c>
    </row>
    <row r="17" spans="1:3" ht="19.5" customHeight="1" x14ac:dyDescent="0.25">
      <c r="A17" s="4" t="s">
        <v>61</v>
      </c>
      <c r="B17" s="7" t="s">
        <v>62</v>
      </c>
      <c r="C17" s="9"/>
    </row>
    <row r="20" spans="1:3" ht="19.5" customHeight="1" x14ac:dyDescent="0.25">
      <c r="A20" s="30" t="s">
        <v>63</v>
      </c>
      <c r="B20" s="30"/>
    </row>
    <row r="21" spans="1:3" x14ac:dyDescent="0.25">
      <c r="A21" s="5" t="s">
        <v>29</v>
      </c>
      <c r="B21" s="5" t="s">
        <v>30</v>
      </c>
    </row>
    <row r="22" spans="1:3" x14ac:dyDescent="0.25">
      <c r="A22" s="7" t="s">
        <v>2</v>
      </c>
      <c r="B22" s="7" t="s">
        <v>4</v>
      </c>
    </row>
    <row r="23" spans="1:3" x14ac:dyDescent="0.25">
      <c r="A23" s="10" t="s">
        <v>64</v>
      </c>
      <c r="B23" s="10" t="s">
        <v>46</v>
      </c>
    </row>
    <row r="24" spans="1:3" x14ac:dyDescent="0.25">
      <c r="A24" s="10" t="s">
        <v>65</v>
      </c>
      <c r="B24" s="10" t="s">
        <v>66</v>
      </c>
    </row>
    <row r="25" spans="1:3" x14ac:dyDescent="0.25">
      <c r="A25" s="10"/>
      <c r="B25" s="10" t="s">
        <v>67</v>
      </c>
    </row>
    <row r="26" spans="1:3" x14ac:dyDescent="0.25">
      <c r="A26" s="10"/>
      <c r="B26" s="10" t="s">
        <v>68</v>
      </c>
    </row>
    <row r="27" spans="1:3" x14ac:dyDescent="0.25">
      <c r="A27" s="10"/>
      <c r="B27" s="10" t="s">
        <v>69</v>
      </c>
    </row>
    <row r="28" spans="1:3" x14ac:dyDescent="0.25">
      <c r="A28" s="10"/>
      <c r="B28" s="10" t="s">
        <v>70</v>
      </c>
    </row>
    <row r="29" spans="1:3" x14ac:dyDescent="0.25">
      <c r="A29" s="10"/>
      <c r="B29" s="10" t="s">
        <v>71</v>
      </c>
    </row>
    <row r="30" spans="1:3" x14ac:dyDescent="0.25">
      <c r="A30" s="10"/>
      <c r="B30" s="10" t="s">
        <v>72</v>
      </c>
    </row>
    <row r="31" spans="1:3" x14ac:dyDescent="0.25">
      <c r="A31" s="10"/>
      <c r="B31" s="10" t="s">
        <v>73</v>
      </c>
    </row>
    <row r="32" spans="1:3" x14ac:dyDescent="0.25">
      <c r="A32" s="10"/>
      <c r="B32" s="10" t="s">
        <v>74</v>
      </c>
    </row>
    <row r="33" spans="1:5" x14ac:dyDescent="0.25">
      <c r="A33" s="10"/>
      <c r="B33" s="10" t="s">
        <v>75</v>
      </c>
    </row>
    <row r="34" spans="1:5" x14ac:dyDescent="0.25">
      <c r="A34" s="10"/>
      <c r="B34" s="10" t="s">
        <v>76</v>
      </c>
    </row>
    <row r="35" spans="1:5" x14ac:dyDescent="0.25">
      <c r="A35" s="10"/>
    </row>
    <row r="36" spans="1:5" ht="15" customHeight="1" x14ac:dyDescent="0.25">
      <c r="A36" s="40" t="s">
        <v>77</v>
      </c>
      <c r="B36" s="40"/>
      <c r="C36" s="40"/>
      <c r="D36" s="40"/>
      <c r="E36" s="40"/>
    </row>
    <row r="37" spans="1:5" x14ac:dyDescent="0.25">
      <c r="A37" s="40"/>
      <c r="B37" s="40"/>
      <c r="C37" s="40"/>
      <c r="D37" s="40"/>
      <c r="E37" s="40"/>
    </row>
    <row r="38" spans="1:5" x14ac:dyDescent="0.25">
      <c r="A38" s="40"/>
      <c r="B38" s="40"/>
      <c r="C38" s="40"/>
      <c r="D38" s="40"/>
      <c r="E38" s="40"/>
    </row>
  </sheetData>
  <mergeCells count="11">
    <mergeCell ref="A36:E38"/>
    <mergeCell ref="B9:E9"/>
    <mergeCell ref="B10:E10"/>
    <mergeCell ref="A12:E12"/>
    <mergeCell ref="A20:B20"/>
    <mergeCell ref="A1:E2"/>
    <mergeCell ref="A4:E4"/>
    <mergeCell ref="B5:E5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showGridLines="0" workbookViewId="0">
      <pane ySplit="2" topLeftCell="A3" activePane="bottomLeft" state="frozen"/>
      <selection pane="bottomLeft" activeCell="A3" sqref="A3:G3"/>
    </sheetView>
  </sheetViews>
  <sheetFormatPr defaultColWidth="8.7109375" defaultRowHeight="15" x14ac:dyDescent="0.25"/>
  <cols>
    <col min="1" max="1" width="16.28515625" customWidth="1"/>
    <col min="2" max="6" width="30" customWidth="1"/>
    <col min="7" max="7" width="3" customWidth="1"/>
  </cols>
  <sheetData>
    <row r="1" spans="1:7" ht="30" customHeight="1" x14ac:dyDescent="0.25">
      <c r="A1" s="33" t="s">
        <v>78</v>
      </c>
      <c r="B1" s="33"/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ht="15" customHeight="1" x14ac:dyDescent="0.25">
      <c r="A3" s="41" t="s">
        <v>79</v>
      </c>
      <c r="B3" s="41"/>
      <c r="C3" s="41"/>
      <c r="D3" s="41"/>
      <c r="E3" s="41"/>
      <c r="F3" s="41"/>
      <c r="G3" s="41"/>
    </row>
    <row r="5" spans="1:7" x14ac:dyDescent="0.25">
      <c r="A5" s="42" t="s">
        <v>80</v>
      </c>
      <c r="B5" s="42"/>
      <c r="C5" s="42"/>
      <c r="D5" s="42"/>
      <c r="E5" s="42"/>
      <c r="F5" s="42"/>
      <c r="G5" s="42"/>
    </row>
    <row r="6" spans="1:7" ht="15" customHeight="1" x14ac:dyDescent="0.25">
      <c r="A6" s="43" t="s">
        <v>81</v>
      </c>
      <c r="B6" s="43"/>
      <c r="C6" s="43"/>
      <c r="D6" s="43"/>
      <c r="E6" s="43"/>
      <c r="F6" s="43"/>
      <c r="G6" s="43"/>
    </row>
    <row r="7" spans="1:7" x14ac:dyDescent="0.25">
      <c r="A7" s="43"/>
      <c r="B7" s="43"/>
      <c r="C7" s="43"/>
      <c r="D7" s="43"/>
      <c r="E7" s="43"/>
      <c r="F7" s="43"/>
      <c r="G7" s="43"/>
    </row>
    <row r="9" spans="1:7" x14ac:dyDescent="0.25">
      <c r="A9" s="42" t="s">
        <v>82</v>
      </c>
      <c r="B9" s="42"/>
      <c r="C9" s="42"/>
      <c r="D9" s="42"/>
      <c r="E9" s="42"/>
      <c r="F9" s="42"/>
      <c r="G9" s="42"/>
    </row>
    <row r="10" spans="1:7" ht="15" customHeight="1" x14ac:dyDescent="0.25">
      <c r="A10" s="43" t="s">
        <v>83</v>
      </c>
      <c r="B10" s="43"/>
      <c r="C10" s="43"/>
      <c r="D10" s="43"/>
      <c r="E10" s="43"/>
      <c r="F10" s="43"/>
      <c r="G10" s="43"/>
    </row>
    <row r="11" spans="1:7" x14ac:dyDescent="0.25">
      <c r="A11" s="43"/>
      <c r="B11" s="43"/>
      <c r="C11" s="43"/>
      <c r="D11" s="43"/>
      <c r="E11" s="43"/>
      <c r="F11" s="43"/>
      <c r="G11" s="43"/>
    </row>
    <row r="13" spans="1:7" x14ac:dyDescent="0.25">
      <c r="A13" s="42" t="s">
        <v>84</v>
      </c>
      <c r="B13" s="42"/>
      <c r="C13" s="42"/>
      <c r="D13" s="42"/>
      <c r="E13" s="42"/>
      <c r="F13" s="42"/>
      <c r="G13" s="42"/>
    </row>
    <row r="14" spans="1:7" ht="15" customHeight="1" x14ac:dyDescent="0.25">
      <c r="A14" s="43" t="s">
        <v>85</v>
      </c>
      <c r="B14" s="43"/>
      <c r="C14" s="43"/>
      <c r="D14" s="43"/>
      <c r="E14" s="43"/>
      <c r="F14" s="43"/>
      <c r="G14" s="43"/>
    </row>
    <row r="15" spans="1:7" x14ac:dyDescent="0.25">
      <c r="A15" s="43"/>
      <c r="B15" s="43"/>
      <c r="C15" s="43"/>
      <c r="D15" s="43"/>
      <c r="E15" s="43"/>
      <c r="F15" s="43"/>
      <c r="G15" s="43"/>
    </row>
    <row r="17" spans="1:7" x14ac:dyDescent="0.25">
      <c r="A17" s="42" t="s">
        <v>86</v>
      </c>
      <c r="B17" s="42"/>
      <c r="C17" s="42"/>
      <c r="D17" s="42"/>
      <c r="E17" s="42"/>
      <c r="F17" s="42"/>
      <c r="G17" s="42"/>
    </row>
    <row r="18" spans="1:7" ht="15" customHeight="1" x14ac:dyDescent="0.25">
      <c r="A18" s="43" t="s">
        <v>87</v>
      </c>
      <c r="B18" s="43"/>
      <c r="C18" s="43"/>
      <c r="D18" s="43"/>
      <c r="E18" s="43"/>
      <c r="F18" s="43"/>
      <c r="G18" s="43"/>
    </row>
    <row r="19" spans="1:7" x14ac:dyDescent="0.25">
      <c r="A19" s="43"/>
      <c r="B19" s="43"/>
      <c r="C19" s="43"/>
      <c r="D19" s="43"/>
      <c r="E19" s="43"/>
      <c r="F19" s="43"/>
      <c r="G19" s="43"/>
    </row>
    <row r="21" spans="1:7" x14ac:dyDescent="0.25">
      <c r="A21" s="42" t="s">
        <v>88</v>
      </c>
      <c r="B21" s="42"/>
      <c r="C21" s="42"/>
      <c r="D21" s="42"/>
      <c r="E21" s="42"/>
      <c r="F21" s="42"/>
      <c r="G21" s="42"/>
    </row>
    <row r="22" spans="1:7" ht="15" customHeight="1" x14ac:dyDescent="0.25">
      <c r="A22" s="43" t="s">
        <v>89</v>
      </c>
      <c r="B22" s="43"/>
      <c r="C22" s="43"/>
      <c r="D22" s="43"/>
      <c r="E22" s="43"/>
      <c r="F22" s="43"/>
      <c r="G22" s="43"/>
    </row>
    <row r="23" spans="1:7" x14ac:dyDescent="0.25">
      <c r="A23" s="43"/>
      <c r="B23" s="43"/>
      <c r="C23" s="43"/>
      <c r="D23" s="43"/>
      <c r="E23" s="43"/>
      <c r="F23" s="43"/>
      <c r="G23" s="43"/>
    </row>
    <row r="26" spans="1:7" ht="19.5" customHeight="1" x14ac:dyDescent="0.25">
      <c r="A26" s="30" t="s">
        <v>90</v>
      </c>
      <c r="B26" s="30"/>
      <c r="C26" s="30"/>
      <c r="D26" s="30"/>
      <c r="E26" s="30"/>
      <c r="F26" s="30"/>
      <c r="G26" s="30"/>
    </row>
    <row r="27" spans="1:7" ht="21.75" customHeight="1" x14ac:dyDescent="0.25">
      <c r="A27" s="1" t="s">
        <v>55</v>
      </c>
      <c r="B27" s="43" t="s">
        <v>91</v>
      </c>
      <c r="C27" s="43"/>
      <c r="D27" s="43"/>
      <c r="E27" s="43"/>
      <c r="F27" s="43"/>
      <c r="G27" s="43"/>
    </row>
    <row r="28" spans="1:7" ht="21.75" customHeight="1" x14ac:dyDescent="0.25">
      <c r="A28" s="2" t="s">
        <v>57</v>
      </c>
      <c r="B28" s="43" t="s">
        <v>92</v>
      </c>
      <c r="C28" s="43"/>
      <c r="D28" s="43"/>
      <c r="E28" s="43"/>
      <c r="F28" s="43"/>
      <c r="G28" s="43"/>
    </row>
    <row r="29" spans="1:7" ht="21.75" customHeight="1" x14ac:dyDescent="0.25">
      <c r="A29" s="3" t="s">
        <v>59</v>
      </c>
      <c r="B29" s="43" t="s">
        <v>93</v>
      </c>
      <c r="C29" s="43"/>
      <c r="D29" s="43"/>
      <c r="E29" s="43"/>
      <c r="F29" s="43"/>
      <c r="G29" s="43"/>
    </row>
    <row r="30" spans="1:7" ht="21.75" customHeight="1" x14ac:dyDescent="0.25">
      <c r="A30" s="4" t="s">
        <v>61</v>
      </c>
      <c r="B30" s="43" t="s">
        <v>94</v>
      </c>
      <c r="C30" s="43"/>
      <c r="D30" s="43"/>
      <c r="E30" s="43"/>
      <c r="F30" s="43"/>
      <c r="G30" s="43"/>
    </row>
    <row r="32" spans="1:7" ht="15" customHeight="1" x14ac:dyDescent="0.25">
      <c r="A32" s="44"/>
      <c r="B32" s="44"/>
      <c r="C32" s="44"/>
      <c r="D32" s="44"/>
      <c r="E32" s="44"/>
      <c r="F32" s="44"/>
      <c r="G32" s="44"/>
    </row>
    <row r="33" spans="1:7" x14ac:dyDescent="0.25">
      <c r="A33" s="44"/>
      <c r="B33" s="44"/>
      <c r="C33" s="44"/>
      <c r="D33" s="44"/>
      <c r="E33" s="44"/>
      <c r="F33" s="44"/>
      <c r="G33" s="44"/>
    </row>
    <row r="34" spans="1:7" x14ac:dyDescent="0.25">
      <c r="A34" s="44"/>
      <c r="B34" s="44"/>
      <c r="C34" s="44"/>
      <c r="D34" s="44"/>
      <c r="E34" s="44"/>
      <c r="F34" s="44"/>
      <c r="G34" s="44"/>
    </row>
  </sheetData>
  <mergeCells count="18">
    <mergeCell ref="A32:G34"/>
    <mergeCell ref="B30:G30"/>
    <mergeCell ref="A1:G2"/>
    <mergeCell ref="A6:G7"/>
    <mergeCell ref="A10:G11"/>
    <mergeCell ref="A14:G15"/>
    <mergeCell ref="A18:G19"/>
    <mergeCell ref="A22:G23"/>
    <mergeCell ref="A21:G21"/>
    <mergeCell ref="A26:G26"/>
    <mergeCell ref="B27:G27"/>
    <mergeCell ref="B28:G28"/>
    <mergeCell ref="B29:G29"/>
    <mergeCell ref="A3:G3"/>
    <mergeCell ref="A5:G5"/>
    <mergeCell ref="A9:G9"/>
    <mergeCell ref="A13:G13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 Entry</vt:lpstr>
      <vt:lpstr>Legend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Dalitso Mwansa</dc:creator>
  <cp:lastModifiedBy>KABAMBA MUTALE</cp:lastModifiedBy>
  <cp:revision>1</cp:revision>
  <dcterms:created xsi:type="dcterms:W3CDTF">2026-09-21T14:27:00Z</dcterms:created>
  <dcterms:modified xsi:type="dcterms:W3CDTF">2026-09-30T09:58:45Z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2CE91E9ACEBC4FC890D514A9B40FC1FB_13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